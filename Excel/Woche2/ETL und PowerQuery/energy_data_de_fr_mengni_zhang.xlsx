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I\Excel\Woche2\ETL und PowerQuery\"/>
    </mc:Choice>
  </mc:AlternateContent>
  <xr:revisionPtr revIDLastSave="0" documentId="13_ncr:2001_{11B4E30B-D737-49B7-9598-6BA2EC62B52B}" xr6:coauthVersionLast="47" xr6:coauthVersionMax="47" xr10:uidLastSave="{00000000-0000-0000-0000-000000000000}"/>
  <bookViews>
    <workbookView xWindow="-108" yWindow="-108" windowWidth="23256" windowHeight="12456" firstSheet="2" activeTab="5" xr2:uid="{21E52B0C-B05A-4862-B5D8-0FA06CBD6B94}"/>
  </bookViews>
  <sheets>
    <sheet name="owid-energy-codebook" sheetId="2" r:id="rId1"/>
    <sheet name="energy-data-DE-FR" sheetId="4" r:id="rId2"/>
    <sheet name="Tabelle1" sheetId="11" r:id="rId3"/>
    <sheet name="Charts" sheetId="10" r:id="rId4"/>
    <sheet name="Data Completeness" sheetId="8" r:id="rId5"/>
    <sheet name="Exploratory Pivots" sheetId="9" r:id="rId6"/>
  </sheets>
  <definedNames>
    <definedName name="ExterneDaten_1" localSheetId="1" hidden="1">'energy-data-DE-FR'!$A$1:$DZ$63</definedName>
    <definedName name="ExterneDaten_1" localSheetId="0" hidden="1">'owid-energy-codebook'!$A$1:$D$28</definedName>
  </definedNames>
  <calcPr calcId="191029"/>
  <pivotCaches>
    <pivotCache cacheId="24" r:id="rId7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AF66" i="4"/>
  <c r="AG66" i="4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Z66" i="4"/>
  <c r="BA66" i="4"/>
  <c r="BB66" i="4"/>
  <c r="BC66" i="4"/>
  <c r="BD66" i="4"/>
  <c r="BE66" i="4"/>
  <c r="BF66" i="4"/>
  <c r="BG66" i="4"/>
  <c r="BH66" i="4"/>
  <c r="BI66" i="4"/>
  <c r="BJ66" i="4"/>
  <c r="BK66" i="4"/>
  <c r="BL66" i="4"/>
  <c r="BM66" i="4"/>
  <c r="BN66" i="4"/>
  <c r="BO66" i="4"/>
  <c r="BP66" i="4"/>
  <c r="BQ66" i="4"/>
  <c r="BR66" i="4"/>
  <c r="BS66" i="4"/>
  <c r="BT66" i="4"/>
  <c r="BU66" i="4"/>
  <c r="BV66" i="4"/>
  <c r="BW66" i="4"/>
  <c r="BX66" i="4"/>
  <c r="BY66" i="4"/>
  <c r="BZ66" i="4"/>
  <c r="CA66" i="4"/>
  <c r="CB66" i="4"/>
  <c r="CC66" i="4"/>
  <c r="CD66" i="4"/>
  <c r="CE66" i="4"/>
  <c r="CF66" i="4"/>
  <c r="CG66" i="4"/>
  <c r="CH66" i="4"/>
  <c r="CI66" i="4"/>
  <c r="CJ66" i="4"/>
  <c r="CK66" i="4"/>
  <c r="CL66" i="4"/>
  <c r="CM66" i="4"/>
  <c r="CN66" i="4"/>
  <c r="CO66" i="4"/>
  <c r="CP66" i="4"/>
  <c r="CQ66" i="4"/>
  <c r="CR66" i="4"/>
  <c r="CS66" i="4"/>
  <c r="CT66" i="4"/>
  <c r="CU66" i="4"/>
  <c r="CV66" i="4"/>
  <c r="CW66" i="4"/>
  <c r="CX66" i="4"/>
  <c r="CY66" i="4"/>
  <c r="CZ66" i="4"/>
  <c r="DA66" i="4"/>
  <c r="DB66" i="4"/>
  <c r="DC66" i="4"/>
  <c r="DD66" i="4"/>
  <c r="DE66" i="4"/>
  <c r="DF66" i="4"/>
  <c r="DG66" i="4"/>
  <c r="DH66" i="4"/>
  <c r="DI66" i="4"/>
  <c r="DJ66" i="4"/>
  <c r="DK66" i="4"/>
  <c r="DL66" i="4"/>
  <c r="DM66" i="4"/>
  <c r="DN66" i="4"/>
  <c r="DO66" i="4"/>
  <c r="DP66" i="4"/>
  <c r="DQ66" i="4"/>
  <c r="DR66" i="4"/>
  <c r="DS66" i="4"/>
  <c r="DT66" i="4"/>
  <c r="DU66" i="4"/>
  <c r="DV66" i="4"/>
  <c r="DW66" i="4"/>
  <c r="DX66" i="4"/>
  <c r="DY66" i="4"/>
  <c r="DZ66" i="4"/>
  <c r="E66" i="4"/>
  <c r="D6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ED43B2-BE2B-4E29-9A8A-A57776C7FDB2}" keepAlive="1" name="Abfrage - owid-energy-codebook" description="Verbindung mit der Abfrage 'owid-energy-codebook' in der Arbeitsmappe." type="5" refreshedVersion="8" background="1" saveData="1">
    <dbPr connection="Provider=Microsoft.Mashup.OleDb.1;Data Source=$Workbook$;Location=owid-energy-codebook;Extended Properties=&quot;&quot;" command="SELECT * FROM [owid-energy-codebook]"/>
  </connection>
  <connection id="2" xr16:uid="{A798C59F-F030-4EA8-92C1-EEBF8D0B83F4}" keepAlive="1" name="Abfrage - owid-energy-data (2)" description="Verbindung mit der Abfrage 'owid-energy-data (2)' in der Arbeitsmappe." type="5" refreshedVersion="8" background="1" saveData="1">
    <dbPr connection="Provider=Microsoft.Mashup.OleDb.1;Data Source=$Workbook$;Location=&quot;owid-energy-data (2)&quot;;Extended Properties=&quot;&quot;" command="SELECT * FROM [owid-energy-data (2)]"/>
  </connection>
</connections>
</file>

<file path=xl/sharedStrings.xml><?xml version="1.0" encoding="utf-8"?>
<sst xmlns="http://schemas.openxmlformats.org/spreadsheetml/2006/main" count="559" uniqueCount="195">
  <si>
    <t>column</t>
  </si>
  <si>
    <t>description</t>
  </si>
  <si>
    <t>unit</t>
  </si>
  <si>
    <t>source</t>
  </si>
  <si>
    <t>country</t>
  </si>
  <si>
    <t/>
  </si>
  <si>
    <t>year</t>
  </si>
  <si>
    <t>iso_code</t>
  </si>
  <si>
    <t>population</t>
  </si>
  <si>
    <t>gdp</t>
  </si>
  <si>
    <t>biofuel_cons_change_pct</t>
  </si>
  <si>
    <t>%</t>
  </si>
  <si>
    <t>Energy Institute - Statistical Review of World Energy (2024) [https://www.energyinst.org/statistical-review/]</t>
  </si>
  <si>
    <t>biofuel_cons_change_twh</t>
  </si>
  <si>
    <t>biofuel_cons_per_capita</t>
  </si>
  <si>
    <t>biofuel_consumption</t>
  </si>
  <si>
    <t>biofuel_elec_per_capita</t>
  </si>
  <si>
    <t>biofuel_electricity</t>
  </si>
  <si>
    <t>Ember - Yearly Electricity Data (2024) [https://ember-climate.org/data-catalogue/yearly-electricity-data/]</t>
  </si>
  <si>
    <t>biofuel_share_elec</t>
  </si>
  <si>
    <t>Share of electricity generated by bioenergy - Measured as a percentage of total electricity.</t>
  </si>
  <si>
    <t>Ember - Yearly Electricity Data (2024) [https://ember-climate.org/data-catalogue/yearly-electricity-data/]; Energy Institute - Statistical Review of World Energy (2024) [https://www.energyinst.org/statistical-review/]</t>
  </si>
  <si>
    <t>biofuel_share_energy</t>
  </si>
  <si>
    <t>Share of primary energy consumption that comes from biofuels - Measured as a percentage of the total primary energy, using the substitution method.</t>
  </si>
  <si>
    <t>carbon_intensity_elec</t>
  </si>
  <si>
    <t>coal_cons_change_pct</t>
  </si>
  <si>
    <t>coal_cons_change_twh</t>
  </si>
  <si>
    <t>coal_cons_per_capita</t>
  </si>
  <si>
    <t>coal_consumption</t>
  </si>
  <si>
    <t>coal_elec_per_capita</t>
  </si>
  <si>
    <t>coal_electricity</t>
  </si>
  <si>
    <t>coal_prod_change_pct</t>
  </si>
  <si>
    <t>coal_prod_change_twh</t>
  </si>
  <si>
    <t>coal_prod_per_capita</t>
  </si>
  <si>
    <t>coal_production</t>
  </si>
  <si>
    <t>coal_share_elec</t>
  </si>
  <si>
    <t>Share of electricity generated by coal - Measured as a percentage of total electricity.</t>
  </si>
  <si>
    <t>coal_share_energy</t>
  </si>
  <si>
    <t>Share of primary energy consumption that comes from coal - Measured as a percentage of the total primary energy, using the substitution method.</t>
  </si>
  <si>
    <t>electricity_demand</t>
  </si>
  <si>
    <t>electricity_generation</t>
  </si>
  <si>
    <t>electricity_share_energy</t>
  </si>
  <si>
    <t>Total electricity generation as share of primary energy - Measured as a percentage of total, direct primary energy consumption.</t>
  </si>
  <si>
    <t>energy_cons_change_pct</t>
  </si>
  <si>
    <t>energy_cons_change_twh</t>
  </si>
  <si>
    <t>energy_per_capita</t>
  </si>
  <si>
    <t>energy_per_gdp</t>
  </si>
  <si>
    <t>fossil_cons_change_pct</t>
  </si>
  <si>
    <t>fossil_cons_change_twh</t>
  </si>
  <si>
    <t>fossil_elec_per_capita</t>
  </si>
  <si>
    <t>fossil_electricity</t>
  </si>
  <si>
    <t>fossil_energy_per_capita</t>
  </si>
  <si>
    <t>fossil_fuel_consumption</t>
  </si>
  <si>
    <t>fossil_share_elec</t>
  </si>
  <si>
    <t>Share of electricity generated by fossil fuels - Measured as a percentage of total electricity.</t>
  </si>
  <si>
    <t>fossil_share_energy</t>
  </si>
  <si>
    <t>Share of primary energy consumption that comes from fossil fuels - Measured as a percentage of the total primary energy, using the substitution method.</t>
  </si>
  <si>
    <t>gas_cons_change_pct</t>
  </si>
  <si>
    <t>gas_cons_change_twh</t>
  </si>
  <si>
    <t>gas_consumption</t>
  </si>
  <si>
    <t>gas_elec_per_capita</t>
  </si>
  <si>
    <t>gas_electricity</t>
  </si>
  <si>
    <t>gas_energy_per_capita</t>
  </si>
  <si>
    <t>gas_prod_change_pct</t>
  </si>
  <si>
    <t>gas_prod_change_twh</t>
  </si>
  <si>
    <t>gas_prod_per_capita</t>
  </si>
  <si>
    <t>gas_production</t>
  </si>
  <si>
    <t>gas_share_elec</t>
  </si>
  <si>
    <t>Share of electricity generated by gas - Measured as a percentage of total electricity.</t>
  </si>
  <si>
    <t>gas_share_energy</t>
  </si>
  <si>
    <t>Share of primary energy consumption that comes from gas - Measured as a percentage of the total primary energy, using the substitution method.</t>
  </si>
  <si>
    <t>greenhouse_gas_emissions</t>
  </si>
  <si>
    <t>hydro_cons_change_pct</t>
  </si>
  <si>
    <t>hydro_cons_change_twh</t>
  </si>
  <si>
    <t>hydro_consumption</t>
  </si>
  <si>
    <t>hydro_elec_per_capita</t>
  </si>
  <si>
    <t>hydro_electricity</t>
  </si>
  <si>
    <t>hydro_energy_per_capita</t>
  </si>
  <si>
    <t>hydro_share_elec</t>
  </si>
  <si>
    <t>Share of electricity generated by hydropower - Measured as a percentage of total electricity.</t>
  </si>
  <si>
    <t>hydro_share_energy</t>
  </si>
  <si>
    <t>Share of primary energy consumption that comes from hydropower - Measured as a percentage of the total primary energy, using the substitution method.</t>
  </si>
  <si>
    <t>low_carbon_cons_change_pct</t>
  </si>
  <si>
    <t>low_carbon_cons_change_twh</t>
  </si>
  <si>
    <t>low_carbon_consumption</t>
  </si>
  <si>
    <t>low_carbon_elec_per_capita</t>
  </si>
  <si>
    <t>low_carbon_electricity</t>
  </si>
  <si>
    <t>low_carbon_energy_per_capita</t>
  </si>
  <si>
    <t>low_carbon_share_elec</t>
  </si>
  <si>
    <t>Share of electricity generated by low-carbon sources - Low-carbon sources correspond to renewables and nuclear power, that produce significantly less greenhouse-gas emissions than fossil fuels.</t>
  </si>
  <si>
    <t>low_carbon_share_energy</t>
  </si>
  <si>
    <t>Share of primary energy consumption that comes from low-carbon sources - Measured as a percentage of the total primary energy, using the substitution method.</t>
  </si>
  <si>
    <t>net_elec_imports</t>
  </si>
  <si>
    <t>net_elec_imports_share_demand</t>
  </si>
  <si>
    <t>Net electricity imports as a share of demand - Electricity imports minus exports, measured as a percentage of total electricity demand.</t>
  </si>
  <si>
    <t>nuclear_cons_change_pct</t>
  </si>
  <si>
    <t>nuclear_cons_change_twh</t>
  </si>
  <si>
    <t>nuclear_consumption</t>
  </si>
  <si>
    <t>nuclear_elec_per_capita</t>
  </si>
  <si>
    <t>nuclear_electricity</t>
  </si>
  <si>
    <t>nuclear_energy_per_capita</t>
  </si>
  <si>
    <t>nuclear_share_elec</t>
  </si>
  <si>
    <t>Share of electricity generated by nuclear power - Measured as a percentage of total electricity.</t>
  </si>
  <si>
    <t>nuclear_share_energy</t>
  </si>
  <si>
    <t>Share of primary energy consumption that comes from nuclear power - Measured as a percentage of the total primary energy, using the substitution method.</t>
  </si>
  <si>
    <t>oil_cons_change_pct</t>
  </si>
  <si>
    <t>oil_cons_change_twh</t>
  </si>
  <si>
    <t>oil_consumption</t>
  </si>
  <si>
    <t>oil_elec_per_capita</t>
  </si>
  <si>
    <t>oil_electricity</t>
  </si>
  <si>
    <t>oil_energy_per_capita</t>
  </si>
  <si>
    <t>oil_prod_change_pct</t>
  </si>
  <si>
    <t>oil_prod_change_twh</t>
  </si>
  <si>
    <t>oil_prod_per_capita</t>
  </si>
  <si>
    <t>oil_production</t>
  </si>
  <si>
    <t>oil_share_elec</t>
  </si>
  <si>
    <t>Share of electricity generated by oil - Measured as a percentage of total electricity.</t>
  </si>
  <si>
    <t>oil_share_energy</t>
  </si>
  <si>
    <t>Share of primary energy consumption that comes from oil - Measured as a percentage of the total primary energy, using the substitution method.</t>
  </si>
  <si>
    <t>other_renewable_consumption</t>
  </si>
  <si>
    <t>other_renewable_electricity</t>
  </si>
  <si>
    <t>other_renewable_exc_biofuel_electricity</t>
  </si>
  <si>
    <t>other_renewables_cons_change_pct</t>
  </si>
  <si>
    <t>other_renewables_cons_change_twh</t>
  </si>
  <si>
    <t>other_renewables_elec_per_capita</t>
  </si>
  <si>
    <t>other_renewables_elec_per_capita_exc_biofuel</t>
  </si>
  <si>
    <t>other_renewables_energy_per_capita</t>
  </si>
  <si>
    <t>other_renewables_share_elec</t>
  </si>
  <si>
    <t>Share of electricity generated by other renewables, including bioenergy - Measured as a percentage of total electricity.</t>
  </si>
  <si>
    <t>other_renewables_share_elec_exc_biofuel</t>
  </si>
  <si>
    <t>Share of electricity generated by other renewables, excluding bioenergy - Measured as a percentage of total electricity.</t>
  </si>
  <si>
    <t>other_renewables_share_energy</t>
  </si>
  <si>
    <t>Share of primary energy consumption that comes from other renewables - Measured as a percentage of the total primary energy, using the substitution method.</t>
  </si>
  <si>
    <t>per_capita_electricity</t>
  </si>
  <si>
    <t>primary_energy_consumption</t>
  </si>
  <si>
    <t>renewables_cons_change_pct</t>
  </si>
  <si>
    <t>renewables_cons_change_twh</t>
  </si>
  <si>
    <t>renewables_consumption</t>
  </si>
  <si>
    <t>renewables_elec_per_capita</t>
  </si>
  <si>
    <t>renewables_electricity</t>
  </si>
  <si>
    <t>renewables_energy_per_capita</t>
  </si>
  <si>
    <t>renewables_share_elec</t>
  </si>
  <si>
    <t>Share of electricity generated by renewables - Measured as a percentage of total electricity.</t>
  </si>
  <si>
    <t>renewables_share_energy</t>
  </si>
  <si>
    <t>Share of primary energy consumption that comes from renewables - Measured as a percentage of the total primary energy, using the substitution method.</t>
  </si>
  <si>
    <t>solar_cons_change_pct</t>
  </si>
  <si>
    <t>solar_cons_change_twh</t>
  </si>
  <si>
    <t>solar_consumption</t>
  </si>
  <si>
    <t>solar_elec_per_capita</t>
  </si>
  <si>
    <t>solar_electricity</t>
  </si>
  <si>
    <t>solar_energy_per_capita</t>
  </si>
  <si>
    <t>solar_share_elec</t>
  </si>
  <si>
    <t>Share of electricity generated by solar power - Measured as a percentage of total electricity.</t>
  </si>
  <si>
    <t>solar_share_energy</t>
  </si>
  <si>
    <t>Share of primary energy consumption that comes from solar power - Measured as a percentage of the total primary energy, using the substitution method.</t>
  </si>
  <si>
    <t>wind_cons_change_pct</t>
  </si>
  <si>
    <t>wind_cons_change_twh</t>
  </si>
  <si>
    <t>wind_consumption</t>
  </si>
  <si>
    <t>wind_elec_per_capita</t>
  </si>
  <si>
    <t>wind_electricity</t>
  </si>
  <si>
    <t>wind_energy_per_capita</t>
  </si>
  <si>
    <t>wind_share_elec</t>
  </si>
  <si>
    <t>Share of electricity generated by wind power - Measured as a percentage of total electricity.</t>
  </si>
  <si>
    <t>wind_share_energy</t>
  </si>
  <si>
    <t>Share of primary energy consumption that comes from wind power - Measured as a percentage of the total primary energy, using the substitution method.</t>
  </si>
  <si>
    <t>Germany</t>
  </si>
  <si>
    <t>France</t>
  </si>
  <si>
    <t>FRA</t>
  </si>
  <si>
    <t>DEU</t>
  </si>
  <si>
    <t>gdp_million_usd</t>
  </si>
  <si>
    <t>Gesamtergebnis</t>
  </si>
  <si>
    <t>Data Completeness</t>
  </si>
  <si>
    <t>Column names</t>
  </si>
  <si>
    <t>Overall</t>
  </si>
  <si>
    <r>
      <t xml:space="preserve">Overall Data Completeness: 98%
Decision: </t>
    </r>
    <r>
      <rPr>
        <b/>
        <sz val="11"/>
        <color theme="1"/>
        <rFont val="Aptos Narrow"/>
        <family val="2"/>
        <scheme val="minor"/>
      </rPr>
      <t>Dataset is analysis-ready</t>
    </r>
  </si>
  <si>
    <t>Spaltenbeschriftungen</t>
  </si>
  <si>
    <t>Yearly GDP in Million USD</t>
  </si>
  <si>
    <t>Year</t>
  </si>
  <si>
    <t>Yearly Energy per Capita</t>
  </si>
  <si>
    <t>Yearly Energy per GDP</t>
  </si>
  <si>
    <t>While both countries experienced similar growth patterns and temporary setbacks, Germany's economy remained substantially larger and grew at a slightly faster rate.</t>
  </si>
  <si>
    <t>Germany's energy efficiency improvements accelerated after 1999, eventually surpassing France's efficiency by 2003 despite starting at a disadvantage.</t>
  </si>
  <si>
    <t>The downward trajectory for both countries signals improved energy efficiency in household. France's 2010 performance acceleration eliminated the historical gap and suggests unidentified policy or market factors driving this convergence.</t>
  </si>
  <si>
    <t>Follow up questions:
1. What happened to France around 2010 leads to its energy efficiency acceleration?
2. What happend to Germany around 1998 leads to ist decreased Energy per GDP?</t>
  </si>
  <si>
    <t>Zeilenbeschriftungen</t>
  </si>
  <si>
    <t>Gesamt: Summe von fossil_fuel_consumption</t>
  </si>
  <si>
    <t>Summe von fossil_fuel_consumption</t>
  </si>
  <si>
    <t>Gesamt: Summe von low_carbon_consumption</t>
  </si>
  <si>
    <t>Summe von low_carbon_consumption</t>
  </si>
  <si>
    <t>Summe von nuclear_consumption</t>
  </si>
  <si>
    <t>% electricity from low-carbon sources</t>
  </si>
  <si>
    <t>% Energy use from low carbon sources</t>
  </si>
  <si>
    <t>Summe von nuclear_share_energy</t>
  </si>
  <si>
    <t>Summe von greenhouse_gas_emissions</t>
  </si>
  <si>
    <t>Summe von nuclear_elec_per_capita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</si>
</sst>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3" fontId="0" fillId="0" borderId="0" xfId="0" applyNumberFormat="1"/>
    <xf numFmtId="9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9" fontId="2" fillId="0" borderId="0" xfId="1" applyFont="1" applyBorder="1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2" borderId="0" xfId="0" applyFill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NumberFormat="1"/>
    <xf numFmtId="0" fontId="0" fillId="0" borderId="0" xfId="0" pivotButton="1" applyAlignment="1">
      <alignment wrapText="1"/>
    </xf>
    <xf numFmtId="9" fontId="0" fillId="0" borderId="0" xfId="0" applyNumberFormat="1"/>
    <xf numFmtId="1" fontId="0" fillId="0" borderId="0" xfId="0" applyNumberFormat="1"/>
    <xf numFmtId="9" fontId="0" fillId="0" borderId="0" xfId="1" applyFont="1" applyAlignment="1">
      <alignment horizontal="center" vertical="center" wrapText="1"/>
    </xf>
  </cellXfs>
  <cellStyles count="2">
    <cellStyle name="Prozent" xfId="1" builtinId="5"/>
    <cellStyle name="Standard" xfId="0" builtinId="0"/>
  </cellStyles>
  <dxfs count="19">
    <dxf>
      <fill>
        <patternFill>
          <bgColor rgb="FFFFFF00"/>
        </patternFill>
      </fill>
    </dxf>
    <dxf>
      <fill>
        <patternFill>
          <bgColor rgb="FFFFC0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[energy_data_de_fr_mengni_zhang.xlsx]Exploratory Pivots!PivotTable3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>
                <a:latin typeface="Aptos SemiBold" panose="020F0502020204030204" pitchFamily="34" charset="0"/>
              </a:rPr>
              <a:t>GDP of FR &amp; DE in Million USD</a:t>
            </a:r>
          </a:p>
          <a:p>
            <a:pPr>
              <a:defRPr sz="1200">
                <a:latin typeface="Aptos SemiBold" panose="020F0502020204030204" pitchFamily="34" charset="0"/>
              </a:defRPr>
            </a:pPr>
            <a:r>
              <a:rPr lang="de-DE" sz="1200">
                <a:latin typeface="Aptos SemiBold" panose="020F0502020204030204" pitchFamily="34" charset="0"/>
              </a:rPr>
              <a:t>(1993 - 2022)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SemiBold" panose="020F050202020403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Pivots'!$B$3:$B$4</c:f>
              <c:strCache>
                <c:ptCount val="1"/>
                <c:pt idx="0">
                  <c:v>France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Pivots'!$A$5:$A$35</c:f>
              <c:strCach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strCache>
            </c:strRef>
          </c:cat>
          <c:val>
            <c:numRef>
              <c:f>'Exploratory Pivots'!$B$5:$B$35</c:f>
              <c:numCache>
                <c:formatCode>#,##0</c:formatCode>
                <c:ptCount val="30"/>
                <c:pt idx="0">
                  <c:v>1671995.850752</c:v>
                </c:pt>
                <c:pt idx="1">
                  <c:v>1712086.4501759999</c:v>
                </c:pt>
                <c:pt idx="2">
                  <c:v>1748659.6014080001</c:v>
                </c:pt>
                <c:pt idx="3">
                  <c:v>1773843.1201279999</c:v>
                </c:pt>
                <c:pt idx="4">
                  <c:v>1816394.8584960001</c:v>
                </c:pt>
                <c:pt idx="5">
                  <c:v>1882050.2650880001</c:v>
                </c:pt>
                <c:pt idx="6">
                  <c:v>1949849.35424</c:v>
                </c:pt>
                <c:pt idx="7">
                  <c:v>2031676.030976</c:v>
                </c:pt>
                <c:pt idx="8">
                  <c:v>2077786.7673599999</c:v>
                </c:pt>
                <c:pt idx="9">
                  <c:v>2107316.5025280002</c:v>
                </c:pt>
                <c:pt idx="10">
                  <c:v>2130940.6576640001</c:v>
                </c:pt>
                <c:pt idx="11">
                  <c:v>2196883.5051520001</c:v>
                </c:pt>
                <c:pt idx="12">
                  <c:v>2238790.5003519999</c:v>
                </c:pt>
                <c:pt idx="13">
                  <c:v>2297018.1877759998</c:v>
                </c:pt>
                <c:pt idx="14">
                  <c:v>2354672.0419839998</c:v>
                </c:pt>
                <c:pt idx="15">
                  <c:v>2362451.6894720001</c:v>
                </c:pt>
                <c:pt idx="16">
                  <c:v>2295353.0490879999</c:v>
                </c:pt>
                <c:pt idx="17">
                  <c:v>2342490.4724480002</c:v>
                </c:pt>
                <c:pt idx="18">
                  <c:v>2393401.9829759998</c:v>
                </c:pt>
                <c:pt idx="19">
                  <c:v>2400896.4177919999</c:v>
                </c:pt>
                <c:pt idx="20">
                  <c:v>2414733.6888319999</c:v>
                </c:pt>
                <c:pt idx="21">
                  <c:v>2437822.8080640002</c:v>
                </c:pt>
                <c:pt idx="22">
                  <c:v>2464953.6634880002</c:v>
                </c:pt>
                <c:pt idx="23">
                  <c:v>2491956.3304960001</c:v>
                </c:pt>
                <c:pt idx="24">
                  <c:v>2549057.5851520002</c:v>
                </c:pt>
                <c:pt idx="25">
                  <c:v>2596599.2345599998</c:v>
                </c:pt>
                <c:pt idx="26">
                  <c:v>2644453.8839039998</c:v>
                </c:pt>
                <c:pt idx="27">
                  <c:v>2438594.035712</c:v>
                </c:pt>
                <c:pt idx="28">
                  <c:v>2604822.69184</c:v>
                </c:pt>
                <c:pt idx="29">
                  <c:v>2671568.7485440001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77-4240-B02A-341E2FC15758}"/>
            </c:ext>
          </c:extLst>
        </c:ser>
        <c:ser>
          <c:idx val="1"/>
          <c:order val="1"/>
          <c:tx>
            <c:strRef>
              <c:f>'Exploratory Pivots'!$C$3:$C$4</c:f>
              <c:strCache>
                <c:ptCount val="1"/>
                <c:pt idx="0">
                  <c:v>Germany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Pivots'!$A$5:$A$35</c:f>
              <c:strCache>
                <c:ptCount val="30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</c:strCache>
            </c:strRef>
          </c:cat>
          <c:val>
            <c:numRef>
              <c:f>'Exploratory Pivots'!$C$5:$C$35</c:f>
              <c:numCache>
                <c:formatCode>#,##0</c:formatCode>
                <c:ptCount val="30"/>
                <c:pt idx="0">
                  <c:v>2206290.9358080002</c:v>
                </c:pt>
                <c:pt idx="1">
                  <c:v>2283952.9308159999</c:v>
                </c:pt>
                <c:pt idx="2">
                  <c:v>2347761.1397119998</c:v>
                </c:pt>
                <c:pt idx="3">
                  <c:v>2391519.7890559998</c:v>
                </c:pt>
                <c:pt idx="4">
                  <c:v>2461046.1450240002</c:v>
                </c:pt>
                <c:pt idx="5">
                  <c:v>2535903.72352</c:v>
                </c:pt>
                <c:pt idx="6">
                  <c:v>2613176.6968319998</c:v>
                </c:pt>
                <c:pt idx="7">
                  <c:v>2718560.6819839999</c:v>
                </c:pt>
                <c:pt idx="8">
                  <c:v>2793372.9095680001</c:v>
                </c:pt>
                <c:pt idx="9">
                  <c:v>2822441.5334399999</c:v>
                </c:pt>
                <c:pt idx="10">
                  <c:v>2831676.0801280001</c:v>
                </c:pt>
                <c:pt idx="11">
                  <c:v>2894624.9809920001</c:v>
                </c:pt>
                <c:pt idx="12">
                  <c:v>2945460.9940479998</c:v>
                </c:pt>
                <c:pt idx="13">
                  <c:v>3086359.1997440001</c:v>
                </c:pt>
                <c:pt idx="14">
                  <c:v>3220275.7242879998</c:v>
                </c:pt>
                <c:pt idx="15">
                  <c:v>3289020.3668479999</c:v>
                </c:pt>
                <c:pt idx="16">
                  <c:v>3136502.1040639998</c:v>
                </c:pt>
                <c:pt idx="17">
                  <c:v>3301123.0310399998</c:v>
                </c:pt>
                <c:pt idx="18">
                  <c:v>3467712.9216</c:v>
                </c:pt>
                <c:pt idx="19">
                  <c:v>3482225.4755839999</c:v>
                </c:pt>
                <c:pt idx="20">
                  <c:v>3497463.1198720001</c:v>
                </c:pt>
                <c:pt idx="21">
                  <c:v>3574741.3360640001</c:v>
                </c:pt>
                <c:pt idx="22">
                  <c:v>3628073.7464319998</c:v>
                </c:pt>
                <c:pt idx="23">
                  <c:v>3708980.0355839999</c:v>
                </c:pt>
                <c:pt idx="24">
                  <c:v>3808389.4968320001</c:v>
                </c:pt>
                <c:pt idx="25">
                  <c:v>3845758.6483200002</c:v>
                </c:pt>
                <c:pt idx="26">
                  <c:v>3886392.803328</c:v>
                </c:pt>
                <c:pt idx="27">
                  <c:v>3742720.8519680002</c:v>
                </c:pt>
                <c:pt idx="28">
                  <c:v>3841041.6291840002</c:v>
                </c:pt>
                <c:pt idx="29">
                  <c:v>3909612.7324160002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77-4240-B02A-341E2FC15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3578848"/>
        <c:axId val="1713577888"/>
      </c:lineChart>
      <c:catAx>
        <c:axId val="171357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3577888"/>
        <c:crosses val="autoZero"/>
        <c:auto val="1"/>
        <c:lblAlgn val="ctr"/>
        <c:lblOffset val="100"/>
        <c:noMultiLvlLbl val="0"/>
      </c:catAx>
      <c:valAx>
        <c:axId val="17135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13578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[energy_data_de_fr_mengni_zhang.xlsx]Exploratory Pivots!PivotTable8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rPr>
              <a:t>Energy per Capita of FR &amp; DE in USD</a:t>
            </a:r>
          </a:p>
          <a:p>
            <a:pPr algn="ctr" rtl="0">
              <a:def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rPr>
              <a:t>(1993 - 2023)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2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SemiBold" panose="020F050202020403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Pivots'!$F$3:$F$4</c:f>
              <c:strCache>
                <c:ptCount val="1"/>
                <c:pt idx="0">
                  <c:v>France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Pivots'!$E$5:$E$36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Pivots'!$F$5:$F$36</c:f>
              <c:numCache>
                <c:formatCode>#,##0</c:formatCode>
                <c:ptCount val="31"/>
                <c:pt idx="0">
                  <c:v>50021.061999999998</c:v>
                </c:pt>
                <c:pt idx="1">
                  <c:v>49357.964999999997</c:v>
                </c:pt>
                <c:pt idx="2">
                  <c:v>50577.843999999997</c:v>
                </c:pt>
                <c:pt idx="3">
                  <c:v>52276.671999999999</c:v>
                </c:pt>
                <c:pt idx="4">
                  <c:v>51274.413999999997</c:v>
                </c:pt>
                <c:pt idx="5">
                  <c:v>52293.457000000002</c:v>
                </c:pt>
                <c:pt idx="6">
                  <c:v>52748.921999999999</c:v>
                </c:pt>
                <c:pt idx="7">
                  <c:v>53147.277000000002</c:v>
                </c:pt>
                <c:pt idx="8">
                  <c:v>53258.633000000002</c:v>
                </c:pt>
                <c:pt idx="9">
                  <c:v>52531.129000000001</c:v>
                </c:pt>
                <c:pt idx="10">
                  <c:v>52789.781000000003</c:v>
                </c:pt>
                <c:pt idx="11">
                  <c:v>52906.542999999998</c:v>
                </c:pt>
                <c:pt idx="12">
                  <c:v>52124.855000000003</c:v>
                </c:pt>
                <c:pt idx="13">
                  <c:v>51362.02</c:v>
                </c:pt>
                <c:pt idx="14">
                  <c:v>50151.976999999999</c:v>
                </c:pt>
                <c:pt idx="15">
                  <c:v>49980.468999999997</c:v>
                </c:pt>
                <c:pt idx="16">
                  <c:v>46847.41</c:v>
                </c:pt>
                <c:pt idx="17">
                  <c:v>48062.32</c:v>
                </c:pt>
                <c:pt idx="18">
                  <c:v>46149.175999999999</c:v>
                </c:pt>
                <c:pt idx="19">
                  <c:v>45884.934000000001</c:v>
                </c:pt>
                <c:pt idx="20">
                  <c:v>46169.375</c:v>
                </c:pt>
                <c:pt idx="21">
                  <c:v>43983.483999999997</c:v>
                </c:pt>
                <c:pt idx="22">
                  <c:v>44229.48</c:v>
                </c:pt>
                <c:pt idx="23">
                  <c:v>43217.41</c:v>
                </c:pt>
                <c:pt idx="24">
                  <c:v>42948.913999999997</c:v>
                </c:pt>
                <c:pt idx="25">
                  <c:v>43389.093999999997</c:v>
                </c:pt>
                <c:pt idx="26">
                  <c:v>42384.667999999998</c:v>
                </c:pt>
                <c:pt idx="27">
                  <c:v>37859.245999999999</c:v>
                </c:pt>
                <c:pt idx="28">
                  <c:v>40191.641000000003</c:v>
                </c:pt>
                <c:pt idx="29">
                  <c:v>35566.758000000002</c:v>
                </c:pt>
                <c:pt idx="30">
                  <c:v>37164.296999999999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6-4743-ACDF-F8CD0CEB804F}"/>
            </c:ext>
          </c:extLst>
        </c:ser>
        <c:ser>
          <c:idx val="1"/>
          <c:order val="1"/>
          <c:tx>
            <c:strRef>
              <c:f>'Exploratory Pivots'!$G$3:$G$4</c:f>
              <c:strCache>
                <c:ptCount val="1"/>
                <c:pt idx="0">
                  <c:v>Germany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Pivots'!$E$5:$E$36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Pivots'!$G$5:$G$36</c:f>
              <c:numCache>
                <c:formatCode>#,##0</c:formatCode>
                <c:ptCount val="31"/>
                <c:pt idx="0">
                  <c:v>49538.949000000001</c:v>
                </c:pt>
                <c:pt idx="1">
                  <c:v>48888.086000000003</c:v>
                </c:pt>
                <c:pt idx="2">
                  <c:v>48996.98</c:v>
                </c:pt>
                <c:pt idx="3">
                  <c:v>50501.870999999999</c:v>
                </c:pt>
                <c:pt idx="4">
                  <c:v>49771.383000000002</c:v>
                </c:pt>
                <c:pt idx="5">
                  <c:v>49305.879000000001</c:v>
                </c:pt>
                <c:pt idx="6">
                  <c:v>48598.667999999998</c:v>
                </c:pt>
                <c:pt idx="7">
                  <c:v>48903.699000000001</c:v>
                </c:pt>
                <c:pt idx="8">
                  <c:v>49841.387000000002</c:v>
                </c:pt>
                <c:pt idx="9">
                  <c:v>49257.788999999997</c:v>
                </c:pt>
                <c:pt idx="10">
                  <c:v>49300.902000000002</c:v>
                </c:pt>
                <c:pt idx="11">
                  <c:v>49342.406000000003</c:v>
                </c:pt>
                <c:pt idx="12">
                  <c:v>48793.612999999998</c:v>
                </c:pt>
                <c:pt idx="13">
                  <c:v>50043.065999999999</c:v>
                </c:pt>
                <c:pt idx="14">
                  <c:v>47958.112999999998</c:v>
                </c:pt>
                <c:pt idx="15">
                  <c:v>48446.046999999999</c:v>
                </c:pt>
                <c:pt idx="16">
                  <c:v>45436.254000000001</c:v>
                </c:pt>
                <c:pt idx="17">
                  <c:v>47305.836000000003</c:v>
                </c:pt>
                <c:pt idx="18">
                  <c:v>45571.483999999997</c:v>
                </c:pt>
                <c:pt idx="19">
                  <c:v>46132.684000000001</c:v>
                </c:pt>
                <c:pt idx="20">
                  <c:v>47361.52</c:v>
                </c:pt>
                <c:pt idx="21">
                  <c:v>45327.605000000003</c:v>
                </c:pt>
                <c:pt idx="22">
                  <c:v>46066.906000000003</c:v>
                </c:pt>
                <c:pt idx="23">
                  <c:v>46658.379000000001</c:v>
                </c:pt>
                <c:pt idx="24">
                  <c:v>47057.949000000001</c:v>
                </c:pt>
                <c:pt idx="25">
                  <c:v>45691.597999999998</c:v>
                </c:pt>
                <c:pt idx="26">
                  <c:v>44436.824000000001</c:v>
                </c:pt>
                <c:pt idx="27">
                  <c:v>41328.737999999998</c:v>
                </c:pt>
                <c:pt idx="28">
                  <c:v>42496.608999999997</c:v>
                </c:pt>
                <c:pt idx="29">
                  <c:v>40938.07</c:v>
                </c:pt>
                <c:pt idx="30">
                  <c:v>38052.269999999997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F6-4743-ACDF-F8CD0CEB8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6994927"/>
        <c:axId val="1056982927"/>
      </c:lineChart>
      <c:catAx>
        <c:axId val="105699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56982927"/>
        <c:crosses val="autoZero"/>
        <c:auto val="1"/>
        <c:lblAlgn val="ctr"/>
        <c:lblOffset val="100"/>
        <c:noMultiLvlLbl val="0"/>
      </c:catAx>
      <c:valAx>
        <c:axId val="1056982927"/>
        <c:scaling>
          <c:orientation val="minMax"/>
          <c:min val="30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56994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[energy_data_de_fr_mengni_zhang.xlsx]Exploratory Pivots!PivotTable9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rPr>
              <a:t>Energy per GDP of FR &amp; DE in USD</a:t>
            </a:r>
          </a:p>
          <a:p>
            <a:pPr algn="ctr" rtl="0">
              <a:def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rPr>
              <a:t>(1993 - 2003)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2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SemiBold" panose="020F050202020403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Pivots'!$J$3:$J$4</c:f>
              <c:strCache>
                <c:ptCount val="1"/>
                <c:pt idx="0">
                  <c:v>France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Pivots'!$I$5:$I$36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Pivots'!$J$5:$J$36</c:f>
              <c:numCache>
                <c:formatCode>#,##0.00</c:formatCode>
                <c:ptCount val="31"/>
                <c:pt idx="0">
                  <c:v>1.7070000000000001</c:v>
                </c:pt>
                <c:pt idx="1">
                  <c:v>1.65</c:v>
                </c:pt>
                <c:pt idx="2">
                  <c:v>1.661</c:v>
                </c:pt>
                <c:pt idx="3">
                  <c:v>1.698</c:v>
                </c:pt>
                <c:pt idx="4">
                  <c:v>1.633</c:v>
                </c:pt>
                <c:pt idx="5">
                  <c:v>1.6140000000000001</c:v>
                </c:pt>
                <c:pt idx="6">
                  <c:v>1.579</c:v>
                </c:pt>
                <c:pt idx="7">
                  <c:v>1.5349999999999999</c:v>
                </c:pt>
                <c:pt idx="8">
                  <c:v>1.5129999999999999</c:v>
                </c:pt>
                <c:pt idx="9">
                  <c:v>1.48</c:v>
                </c:pt>
                <c:pt idx="10">
                  <c:v>1.48</c:v>
                </c:pt>
                <c:pt idx="11">
                  <c:v>1.448</c:v>
                </c:pt>
                <c:pt idx="12">
                  <c:v>1.409</c:v>
                </c:pt>
                <c:pt idx="13">
                  <c:v>1.3620000000000001</c:v>
                </c:pt>
                <c:pt idx="14">
                  <c:v>1.306</c:v>
                </c:pt>
                <c:pt idx="15">
                  <c:v>1.306</c:v>
                </c:pt>
                <c:pt idx="16">
                  <c:v>1.2669999999999999</c:v>
                </c:pt>
                <c:pt idx="17">
                  <c:v>1.2809999999999999</c:v>
                </c:pt>
                <c:pt idx="18">
                  <c:v>1.21</c:v>
                </c:pt>
                <c:pt idx="19">
                  <c:v>1.2050000000000001</c:v>
                </c:pt>
                <c:pt idx="20">
                  <c:v>1.2110000000000001</c:v>
                </c:pt>
                <c:pt idx="21">
                  <c:v>1.147</c:v>
                </c:pt>
                <c:pt idx="22">
                  <c:v>1.145</c:v>
                </c:pt>
                <c:pt idx="23">
                  <c:v>1.1100000000000001</c:v>
                </c:pt>
                <c:pt idx="24">
                  <c:v>1.081</c:v>
                </c:pt>
                <c:pt idx="25">
                  <c:v>1.0740000000000001</c:v>
                </c:pt>
                <c:pt idx="26">
                  <c:v>1.032</c:v>
                </c:pt>
                <c:pt idx="27">
                  <c:v>1.0009999999999999</c:v>
                </c:pt>
                <c:pt idx="28">
                  <c:v>0.996</c:v>
                </c:pt>
                <c:pt idx="29">
                  <c:v>0.86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5-4D67-A10E-91CD41F81328}"/>
            </c:ext>
          </c:extLst>
        </c:ser>
        <c:ser>
          <c:idx val="1"/>
          <c:order val="1"/>
          <c:tx>
            <c:strRef>
              <c:f>'Exploratory Pivots'!$K$3:$K$4</c:f>
              <c:strCache>
                <c:ptCount val="1"/>
                <c:pt idx="0">
                  <c:v>Germany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Pivots'!$I$5:$I$36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Pivots'!$K$5:$K$36</c:f>
              <c:numCache>
                <c:formatCode>#,##0.00</c:formatCode>
                <c:ptCount val="31"/>
                <c:pt idx="0">
                  <c:v>1.8089999999999999</c:v>
                </c:pt>
                <c:pt idx="1">
                  <c:v>1.7310000000000001</c:v>
                </c:pt>
                <c:pt idx="2">
                  <c:v>1.6930000000000001</c:v>
                </c:pt>
                <c:pt idx="3">
                  <c:v>1.7170000000000001</c:v>
                </c:pt>
                <c:pt idx="4">
                  <c:v>1.647</c:v>
                </c:pt>
                <c:pt idx="5">
                  <c:v>1.585</c:v>
                </c:pt>
                <c:pt idx="6">
                  <c:v>1.5169999999999999</c:v>
                </c:pt>
                <c:pt idx="7">
                  <c:v>1.4670000000000001</c:v>
                </c:pt>
                <c:pt idx="8">
                  <c:v>1.454</c:v>
                </c:pt>
                <c:pt idx="9">
                  <c:v>1.421</c:v>
                </c:pt>
                <c:pt idx="10">
                  <c:v>1.4159999999999999</c:v>
                </c:pt>
                <c:pt idx="11">
                  <c:v>1.385</c:v>
                </c:pt>
                <c:pt idx="12">
                  <c:v>1.345</c:v>
                </c:pt>
                <c:pt idx="13">
                  <c:v>1.3160000000000001</c:v>
                </c:pt>
                <c:pt idx="14">
                  <c:v>1.2090000000000001</c:v>
                </c:pt>
                <c:pt idx="15">
                  <c:v>1.196</c:v>
                </c:pt>
                <c:pt idx="16">
                  <c:v>1.177</c:v>
                </c:pt>
                <c:pt idx="17">
                  <c:v>1.165</c:v>
                </c:pt>
                <c:pt idx="18">
                  <c:v>1.07</c:v>
                </c:pt>
                <c:pt idx="19">
                  <c:v>1.08</c:v>
                </c:pt>
                <c:pt idx="20">
                  <c:v>1.1060000000000001</c:v>
                </c:pt>
                <c:pt idx="21">
                  <c:v>1.038</c:v>
                </c:pt>
                <c:pt idx="22">
                  <c:v>1.042</c:v>
                </c:pt>
                <c:pt idx="23">
                  <c:v>1.036</c:v>
                </c:pt>
                <c:pt idx="24">
                  <c:v>1.0209999999999999</c:v>
                </c:pt>
                <c:pt idx="25">
                  <c:v>0.98499999999999999</c:v>
                </c:pt>
                <c:pt idx="26">
                  <c:v>0.95099999999999996</c:v>
                </c:pt>
                <c:pt idx="27">
                  <c:v>0.92</c:v>
                </c:pt>
                <c:pt idx="28">
                  <c:v>0.92300000000000004</c:v>
                </c:pt>
                <c:pt idx="29">
                  <c:v>0.873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5-4D67-A10E-91CD41F81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187567"/>
        <c:axId val="2080195727"/>
      </c:lineChart>
      <c:catAx>
        <c:axId val="208018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0195727"/>
        <c:crosses val="autoZero"/>
        <c:auto val="1"/>
        <c:lblAlgn val="ctr"/>
        <c:lblOffset val="100"/>
        <c:noMultiLvlLbl val="0"/>
      </c:catAx>
      <c:valAx>
        <c:axId val="2080195727"/>
        <c:scaling>
          <c:orientation val="minMax"/>
          <c:max val="2"/>
          <c:min val="0.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018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[energy_data_de_fr_mengni_zhang.xlsx]Exploratory Pivots!PivotTable4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defRPr>
            </a:pPr>
            <a:r>
              <a:rPr lang="de-DE" sz="12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SemiBold" panose="020F0502020204030204" pitchFamily="34" charset="0"/>
                <a:ea typeface="+mn-ea"/>
                <a:cs typeface="+mn-cs"/>
              </a:rPr>
              <a:t>% Energy Use from Low Carbon Sources (1993 - 2023)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de-DE" sz="12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SemiBold" panose="020F0502020204030204" pitchFamily="34" charset="0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Pivots'!$N$3:$N$4</c:f>
              <c:strCache>
                <c:ptCount val="1"/>
                <c:pt idx="0">
                  <c:v>France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Pivots'!$M$5:$M$35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Pivots'!$N$5:$N$35</c:f>
              <c:numCache>
                <c:formatCode>0%</c:formatCode>
                <c:ptCount val="31"/>
                <c:pt idx="0">
                  <c:v>0.43564999999999998</c:v>
                </c:pt>
                <c:pt idx="1">
                  <c:v>0.44691999999999998</c:v>
                </c:pt>
                <c:pt idx="2">
                  <c:v>0.44618000000000002</c:v>
                </c:pt>
                <c:pt idx="3">
                  <c:v>0.44255</c:v>
                </c:pt>
                <c:pt idx="4">
                  <c:v>0.44601000000000002</c:v>
                </c:pt>
                <c:pt idx="5">
                  <c:v>0.42670999999999998</c:v>
                </c:pt>
                <c:pt idx="6">
                  <c:v>0.43709000000000003</c:v>
                </c:pt>
                <c:pt idx="7">
                  <c:v>0.44503999999999999</c:v>
                </c:pt>
                <c:pt idx="8">
                  <c:v>0.45177999999999996</c:v>
                </c:pt>
                <c:pt idx="9">
                  <c:v>0.45387</c:v>
                </c:pt>
                <c:pt idx="10">
                  <c:v>0.44877</c:v>
                </c:pt>
                <c:pt idx="11">
                  <c:v>0.44929000000000002</c:v>
                </c:pt>
                <c:pt idx="12">
                  <c:v>0.44697999999999999</c:v>
                </c:pt>
                <c:pt idx="13">
                  <c:v>0.45252000000000003</c:v>
                </c:pt>
                <c:pt idx="14">
                  <c:v>0.45423000000000002</c:v>
                </c:pt>
                <c:pt idx="15">
                  <c:v>0.46037999999999996</c:v>
                </c:pt>
                <c:pt idx="16">
                  <c:v>0.45457000000000003</c:v>
                </c:pt>
                <c:pt idx="17">
                  <c:v>0.46240000000000003</c:v>
                </c:pt>
                <c:pt idx="18">
                  <c:v>0.47604999999999997</c:v>
                </c:pt>
                <c:pt idx="19">
                  <c:v>0.47714000000000001</c:v>
                </c:pt>
                <c:pt idx="20">
                  <c:v>0.48129</c:v>
                </c:pt>
                <c:pt idx="21">
                  <c:v>0.50812000000000002</c:v>
                </c:pt>
                <c:pt idx="22">
                  <c:v>0.49953000000000003</c:v>
                </c:pt>
                <c:pt idx="23">
                  <c:v>0.48188999999999999</c:v>
                </c:pt>
                <c:pt idx="24">
                  <c:v>0.47067999999999999</c:v>
                </c:pt>
                <c:pt idx="25">
                  <c:v>0.49506999999999995</c:v>
                </c:pt>
                <c:pt idx="26">
                  <c:v>0.49133000000000004</c:v>
                </c:pt>
                <c:pt idx="27">
                  <c:v>0.51244999999999996</c:v>
                </c:pt>
                <c:pt idx="28">
                  <c:v>0.50356000000000001</c:v>
                </c:pt>
                <c:pt idx="29">
                  <c:v>0.46671000000000001</c:v>
                </c:pt>
                <c:pt idx="30">
                  <c:v>0.51969999999999994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6BD-457E-9831-D084867353EF}"/>
            </c:ext>
          </c:extLst>
        </c:ser>
        <c:ser>
          <c:idx val="1"/>
          <c:order val="1"/>
          <c:tx>
            <c:strRef>
              <c:f>'Exploratory Pivots'!$O$3:$O$4</c:f>
              <c:strCache>
                <c:ptCount val="1"/>
                <c:pt idx="0">
                  <c:v>Germany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'Exploratory Pivots'!$M$5:$M$35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Pivots'!$O$5:$O$35</c:f>
              <c:numCache>
                <c:formatCode>0%</c:formatCode>
                <c:ptCount val="31"/>
                <c:pt idx="0">
                  <c:v>0.12496</c:v>
                </c:pt>
                <c:pt idx="1">
                  <c:v>0.12590000000000001</c:v>
                </c:pt>
                <c:pt idx="2">
                  <c:v>0.12890000000000001</c:v>
                </c:pt>
                <c:pt idx="3">
                  <c:v>0.12851000000000001</c:v>
                </c:pt>
                <c:pt idx="4">
                  <c:v>0.13727999999999999</c:v>
                </c:pt>
                <c:pt idx="5">
                  <c:v>0.13378000000000001</c:v>
                </c:pt>
                <c:pt idx="6">
                  <c:v>0.14398</c:v>
                </c:pt>
                <c:pt idx="7">
                  <c:v>0.14954000000000001</c:v>
                </c:pt>
                <c:pt idx="8">
                  <c:v>0.14828</c:v>
                </c:pt>
                <c:pt idx="9">
                  <c:v>0.15048</c:v>
                </c:pt>
                <c:pt idx="10">
                  <c:v>0.15096000000000001</c:v>
                </c:pt>
                <c:pt idx="11">
                  <c:v>0.16036999999999998</c:v>
                </c:pt>
                <c:pt idx="12">
                  <c:v>0.16513999999999998</c:v>
                </c:pt>
                <c:pt idx="13">
                  <c:v>0.17274999999999999</c:v>
                </c:pt>
                <c:pt idx="14">
                  <c:v>0.17448</c:v>
                </c:pt>
                <c:pt idx="15">
                  <c:v>0.18013999999999999</c:v>
                </c:pt>
                <c:pt idx="16">
                  <c:v>0.18248</c:v>
                </c:pt>
                <c:pt idx="17">
                  <c:v>0.18523000000000001</c:v>
                </c:pt>
                <c:pt idx="18">
                  <c:v>0.1827</c:v>
                </c:pt>
                <c:pt idx="19">
                  <c:v>0.18856000000000001</c:v>
                </c:pt>
                <c:pt idx="20">
                  <c:v>0.18640999999999999</c:v>
                </c:pt>
                <c:pt idx="21">
                  <c:v>0.2014</c:v>
                </c:pt>
                <c:pt idx="22">
                  <c:v>0.21152000000000001</c:v>
                </c:pt>
                <c:pt idx="23">
                  <c:v>0.20324999999999999</c:v>
                </c:pt>
                <c:pt idx="24">
                  <c:v>0.21278</c:v>
                </c:pt>
                <c:pt idx="25">
                  <c:v>0.22263000000000002</c:v>
                </c:pt>
                <c:pt idx="26">
                  <c:v>0.23969000000000001</c:v>
                </c:pt>
                <c:pt idx="27">
                  <c:v>0.25835000000000002</c:v>
                </c:pt>
                <c:pt idx="28">
                  <c:v>0.23963999999999999</c:v>
                </c:pt>
                <c:pt idx="29">
                  <c:v>0.23905999999999999</c:v>
                </c:pt>
                <c:pt idx="30">
                  <c:v>0.24962000000000001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6BD-457E-9831-D08486735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0105007"/>
        <c:axId val="2080096847"/>
      </c:lineChart>
      <c:catAx>
        <c:axId val="208010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33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0096847"/>
        <c:crosses val="autoZero"/>
        <c:auto val="1"/>
        <c:lblAlgn val="ctr"/>
        <c:lblOffset val="100"/>
        <c:noMultiLvlLbl val="0"/>
      </c:catAx>
      <c:valAx>
        <c:axId val="208009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080105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[energy_data_de_fr_mengni_zhang.xlsx]Exploratory Pivots!PivotTable5</c:name>
    <c:fmtId val="23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Pivots'!$R$3:$R$4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'Exploratory Pivots'!$Q$5:$Q$35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Pivots'!$R$5:$R$35</c:f>
              <c:numCache>
                <c:formatCode>0%</c:formatCode>
                <c:ptCount val="31"/>
                <c:pt idx="0">
                  <c:v>0.92605999999999999</c:v>
                </c:pt>
                <c:pt idx="1">
                  <c:v>0.92879</c:v>
                </c:pt>
                <c:pt idx="2">
                  <c:v>0.92129000000000005</c:v>
                </c:pt>
                <c:pt idx="3">
                  <c:v>0.91462999999999994</c:v>
                </c:pt>
                <c:pt idx="4">
                  <c:v>0.92181000000000002</c:v>
                </c:pt>
                <c:pt idx="5">
                  <c:v>0.89227999999999996</c:v>
                </c:pt>
                <c:pt idx="6">
                  <c:v>0.90069999999999995</c:v>
                </c:pt>
                <c:pt idx="7">
                  <c:v>0.90691999999999995</c:v>
                </c:pt>
                <c:pt idx="8">
                  <c:v>0.91626999999999992</c:v>
                </c:pt>
                <c:pt idx="9">
                  <c:v>0.90605000000000002</c:v>
                </c:pt>
                <c:pt idx="10">
                  <c:v>0.89879000000000009</c:v>
                </c:pt>
                <c:pt idx="11">
                  <c:v>0.90174999999999994</c:v>
                </c:pt>
                <c:pt idx="12">
                  <c:v>0.88995999999999997</c:v>
                </c:pt>
                <c:pt idx="13">
                  <c:v>0.90093000000000001</c:v>
                </c:pt>
                <c:pt idx="14">
                  <c:v>0.89710999999999996</c:v>
                </c:pt>
                <c:pt idx="15">
                  <c:v>0.90264</c:v>
                </c:pt>
                <c:pt idx="16">
                  <c:v>0.90361000000000002</c:v>
                </c:pt>
                <c:pt idx="17">
                  <c:v>0.89835999999999994</c:v>
                </c:pt>
                <c:pt idx="18">
                  <c:v>0.89599999999999991</c:v>
                </c:pt>
                <c:pt idx="19">
                  <c:v>0.89971000000000001</c:v>
                </c:pt>
                <c:pt idx="20">
                  <c:v>0.90698999999999996</c:v>
                </c:pt>
                <c:pt idx="21">
                  <c:v>0.93685000000000007</c:v>
                </c:pt>
                <c:pt idx="22">
                  <c:v>0.92189999999999994</c:v>
                </c:pt>
                <c:pt idx="23">
                  <c:v>0.8987099999999999</c:v>
                </c:pt>
                <c:pt idx="24">
                  <c:v>0.88241000000000003</c:v>
                </c:pt>
                <c:pt idx="25">
                  <c:v>0.91409000000000007</c:v>
                </c:pt>
                <c:pt idx="26">
                  <c:v>0.90515000000000001</c:v>
                </c:pt>
                <c:pt idx="27">
                  <c:v>0.90825</c:v>
                </c:pt>
                <c:pt idx="28">
                  <c:v>0.91130999999999995</c:v>
                </c:pt>
                <c:pt idx="29">
                  <c:v>0.87105999999999995</c:v>
                </c:pt>
                <c:pt idx="30">
                  <c:v>0.91578000000000004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B3-4C8D-9677-F5C87848A4DD}"/>
            </c:ext>
          </c:extLst>
        </c:ser>
        <c:ser>
          <c:idx val="1"/>
          <c:order val="1"/>
          <c:tx>
            <c:strRef>
              <c:f>'Exploratory Pivots'!$S$3:$S$4</c:f>
              <c:strCache>
                <c:ptCount val="1"/>
                <c:pt idx="0">
                  <c:v>Germany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'Exploratory Pivots'!$Q$5:$Q$35</c:f>
              <c:strCache>
                <c:ptCount val="31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</c:strCache>
            </c:strRef>
          </c:cat>
          <c:val>
            <c:numRef>
              <c:f>'Exploratory Pivots'!$S$5:$S$35</c:f>
              <c:numCache>
                <c:formatCode>0%</c:formatCode>
                <c:ptCount val="31"/>
                <c:pt idx="0">
                  <c:v>0.33377000000000001</c:v>
                </c:pt>
                <c:pt idx="1">
                  <c:v>0.33418999999999999</c:v>
                </c:pt>
                <c:pt idx="2">
                  <c:v>0.33729999999999999</c:v>
                </c:pt>
                <c:pt idx="3">
                  <c:v>0.34031</c:v>
                </c:pt>
                <c:pt idx="4">
                  <c:v>0.35393999999999998</c:v>
                </c:pt>
                <c:pt idx="5">
                  <c:v>0.33957999999999999</c:v>
                </c:pt>
                <c:pt idx="6">
                  <c:v>0.36176999999999998</c:v>
                </c:pt>
                <c:pt idx="7">
                  <c:v>0.36034999999999995</c:v>
                </c:pt>
                <c:pt idx="8">
                  <c:v>0.36131999999999997</c:v>
                </c:pt>
                <c:pt idx="9">
                  <c:v>0.35859000000000002</c:v>
                </c:pt>
                <c:pt idx="10">
                  <c:v>0.35168999999999995</c:v>
                </c:pt>
                <c:pt idx="11">
                  <c:v>0.36915999999999999</c:v>
                </c:pt>
                <c:pt idx="12">
                  <c:v>0.36926000000000003</c:v>
                </c:pt>
                <c:pt idx="13">
                  <c:v>0.38055999999999995</c:v>
                </c:pt>
                <c:pt idx="14">
                  <c:v>0.3644</c:v>
                </c:pt>
                <c:pt idx="15">
                  <c:v>0.38409999999999994</c:v>
                </c:pt>
                <c:pt idx="16">
                  <c:v>0.39289999999999997</c:v>
                </c:pt>
                <c:pt idx="17">
                  <c:v>0.39405000000000001</c:v>
                </c:pt>
                <c:pt idx="18">
                  <c:v>0.38412999999999997</c:v>
                </c:pt>
                <c:pt idx="19">
                  <c:v>0.39183000000000001</c:v>
                </c:pt>
                <c:pt idx="20">
                  <c:v>0.39581000000000005</c:v>
                </c:pt>
                <c:pt idx="21">
                  <c:v>0.41868</c:v>
                </c:pt>
                <c:pt idx="22">
                  <c:v>0.43796000000000002</c:v>
                </c:pt>
                <c:pt idx="23">
                  <c:v>0.42674000000000001</c:v>
                </c:pt>
                <c:pt idx="24">
                  <c:v>0.45308999999999999</c:v>
                </c:pt>
                <c:pt idx="25">
                  <c:v>0.47277999999999998</c:v>
                </c:pt>
                <c:pt idx="26">
                  <c:v>0.52698999999999996</c:v>
                </c:pt>
                <c:pt idx="27">
                  <c:v>0.55734000000000006</c:v>
                </c:pt>
                <c:pt idx="28">
                  <c:v>0.52151999999999998</c:v>
                </c:pt>
                <c:pt idx="29">
                  <c:v>0.50424000000000002</c:v>
                </c:pt>
                <c:pt idx="30">
                  <c:v>0.54142999999999997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B3-4C8D-9677-F5C87848A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3115375"/>
        <c:axId val="1063117295"/>
      </c:lineChart>
      <c:catAx>
        <c:axId val="106311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3117295"/>
        <c:crosses val="autoZero"/>
        <c:auto val="1"/>
        <c:lblAlgn val="ctr"/>
        <c:lblOffset val="100"/>
        <c:noMultiLvlLbl val="0"/>
      </c:catAx>
      <c:valAx>
        <c:axId val="10631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311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807720</xdr:colOff>
      <xdr:row>2</xdr:row>
      <xdr:rowOff>38100</xdr:rowOff>
    </xdr:from>
    <xdr:to>
      <xdr:col>6</xdr:col>
      <xdr:colOff>7620</xdr:colOff>
      <xdr:row>16</xdr:row>
      <xdr:rowOff>45720</xdr:rowOff>
    </xdr:to>
    <xdr:graphicFrame macro="">
      <xdr:nvGraphicFramePr>
        <xdr:cNvPr id="2" name="Diagramm_Yearly_GDP">
          <a:extLst>
            <a:ext uri="{FF2B5EF4-FFF2-40B4-BE49-F238E27FC236}">
              <a16:creationId xmlns:a16="http://schemas.microsoft.com/office/drawing/2014/main" id="{DC75BBD0-2AD7-4A0A-AE64-B3921CABC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525780</xdr:colOff>
      <xdr:row>2</xdr:row>
      <xdr:rowOff>38100</xdr:rowOff>
    </xdr:from>
    <xdr:to>
      <xdr:col>12</xdr:col>
      <xdr:colOff>15240</xdr:colOff>
      <xdr:row>16</xdr:row>
      <xdr:rowOff>45720</xdr:rowOff>
    </xdr:to>
    <xdr:graphicFrame macro="">
      <xdr:nvGraphicFramePr>
        <xdr:cNvPr id="3" name="Diagramm_Yearly_Energy_per_Capita">
          <a:extLst>
            <a:ext uri="{FF2B5EF4-FFF2-40B4-BE49-F238E27FC236}">
              <a16:creationId xmlns:a16="http://schemas.microsoft.com/office/drawing/2014/main" id="{D083B950-D31F-400F-BABD-AB2A526D6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12</xdr:col>
      <xdr:colOff>533400</xdr:colOff>
      <xdr:row>2</xdr:row>
      <xdr:rowOff>38100</xdr:rowOff>
    </xdr:from>
    <xdr:to>
      <xdr:col>18</xdr:col>
      <xdr:colOff>15240</xdr:colOff>
      <xdr:row>16</xdr:row>
      <xdr:rowOff>45720</xdr:rowOff>
    </xdr:to>
    <xdr:graphicFrame macro="">
      <xdr:nvGraphicFramePr>
        <xdr:cNvPr id="4" name="Diagramm_Yearly_Energy_per_GDP">
          <a:extLst>
            <a:ext uri="{FF2B5EF4-FFF2-40B4-BE49-F238E27FC236}">
              <a16:creationId xmlns:a16="http://schemas.microsoft.com/office/drawing/2014/main" id="{55867B9E-8319-4C74-9080-373EBD0EC8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807720</xdr:colOff>
      <xdr:row>25</xdr:row>
      <xdr:rowOff>7620</xdr:rowOff>
    </xdr:from>
    <xdr:to>
      <xdr:col>6</xdr:col>
      <xdr:colOff>9144</xdr:colOff>
      <xdr:row>39</xdr:row>
      <xdr:rowOff>16764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90B96F3-9ABE-4B00-AEF6-D0D5140BB0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13</xdr:col>
      <xdr:colOff>251460</xdr:colOff>
      <xdr:row>40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80716CAE-2DA5-45BC-BEDF-3D90012FD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ngni Zhang" refreshedDate="45896.903833796299" createdVersion="8" refreshedVersion="8" minRefreshableVersion="3" recordCount="62" xr:uid="{687CFA06-BD1E-4649-99F7-04F5FF3A1F7B}">
  <cacheSource type="worksheet">
    <worksheetSource name="Tabelle_Energy"/>
  </cacheSource>
  <cacheFields count="130">
    <cacheField name="country" numFmtId="0">
      <sharedItems count="2">
        <s v="France"/>
        <s v="Germany"/>
      </sharedItems>
    </cacheField>
    <cacheField name="year" numFmtId="0">
      <sharedItems containsSemiMixedTypes="0" containsString="0" containsNumber="1" containsInteger="1" minValue="1993" maxValue="2023" count="31"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iso_code" numFmtId="0">
      <sharedItems/>
    </cacheField>
    <cacheField name="population" numFmtId="3">
      <sharedItems containsSemiMixedTypes="0" containsString="0" containsNumber="1" containsInteger="1" minValue="57053728" maxValue="83408560"/>
    </cacheField>
    <cacheField name="gdp" numFmtId="3">
      <sharedItems containsString="0" containsBlank="1" containsNumber="1" containsInteger="1" minValue="1671995850752" maxValue="3909612732416"/>
    </cacheField>
    <cacheField name="gdp_million_usd" numFmtId="3">
      <sharedItems containsString="0" containsBlank="1" containsNumber="1" minValue="1671995.850752" maxValue="3909612.7324160002"/>
    </cacheField>
    <cacheField name="biofuel_cons_change_pct" numFmtId="0">
      <sharedItems containsSemiMixedTypes="0" containsString="0" containsNumber="1" minValue="-0.14133999999999999" maxValue="4.5986000000000002"/>
    </cacheField>
    <cacheField name="biofuel_cons_change_twh" numFmtId="0">
      <sharedItems containsSemiMixedTypes="0" containsString="0" containsNumber="1" minValue="-4.431" maxValue="11.859"/>
    </cacheField>
    <cacheField name="biofuel_cons_per_capita" numFmtId="0">
      <sharedItems containsSemiMixedTypes="0" containsString="0" containsNumber="1" minValue="0.63800000000000001" maxValue="621.81100000000004"/>
    </cacheField>
    <cacheField name="biofuel_consumption" numFmtId="0">
      <sharedItems containsSemiMixedTypes="0" containsString="0" containsNumber="1" minValue="5.0999999999999997E-2" maxValue="40.186"/>
    </cacheField>
    <cacheField name="biofuel_elec_per_capita" numFmtId="0">
      <sharedItems containsSemiMixedTypes="0" containsString="0" containsNumber="1" containsInteger="1" minValue="24" maxValue="619"/>
    </cacheField>
    <cacheField name="biofuel_electricity" numFmtId="0">
      <sharedItems containsSemiMixedTypes="0" containsString="0" containsNumber="1" minValue="1.48" maxValue="50.93"/>
    </cacheField>
    <cacheField name="biofuel_share_elec" numFmtId="0">
      <sharedItems containsSemiMixedTypes="0" containsString="0" containsNumber="1" minValue="3.16E-3" maxValue="9.1170000000000015E-2"/>
    </cacheField>
    <cacheField name="biofuel_share_energy" numFmtId="0">
      <sharedItems containsSemiMixedTypes="0" containsString="0" containsNumber="1" minValue="1.0000000000000001E-5" maxValue="1.7479999999999999E-2"/>
    </cacheField>
    <cacheField name="carbon_intensity_elec" numFmtId="0">
      <sharedItems containsSemiMixedTypes="0" containsString="0" containsNumber="1" minValue="52.148000000000003" maxValue="607.755"/>
    </cacheField>
    <cacheField name="coal_cons_change_pct" numFmtId="0">
      <sharedItems containsSemiMixedTypes="0" containsString="0" containsNumber="1" minValue="-0.29514000000000001" maxValue="0.34045999999999998"/>
    </cacheField>
    <cacheField name="coal_cons_change_twh" numFmtId="0">
      <sharedItems containsSemiMixedTypes="0" containsString="0" containsNumber="1" minValue="-182.47200000000001" maxValue="107.068"/>
    </cacheField>
    <cacheField name="coal_cons_per_capita" numFmtId="0">
      <sharedItems containsSemiMixedTypes="0" containsString="0" containsNumber="1" minValue="762.58699999999999" maxValue="14220.236000000001"/>
    </cacheField>
    <cacheField name="coal_consumption" numFmtId="0">
      <sharedItems containsSemiMixedTypes="0" containsString="0" containsNumber="1" minValue="49.383000000000003" maxValue="1145.7739999999999"/>
    </cacheField>
    <cacheField name="coal_elec_per_capita" numFmtId="0">
      <sharedItems containsSemiMixedTypes="0" containsString="0" containsNumber="1" minValue="33.356000000000002" maxValue="3744.8310000000001"/>
    </cacheField>
    <cacheField name="coal_electricity" numFmtId="0">
      <sharedItems containsSemiMixedTypes="0" containsString="0" containsNumber="1" minValue="2.16" maxValue="304.63"/>
    </cacheField>
    <cacheField name="coal_prod_change_pct" numFmtId="0">
      <sharedItems containsString="0" containsBlank="1" containsNumber="1" minValue="-1" maxValue="0.17794000000000001"/>
    </cacheField>
    <cacheField name="coal_prod_change_twh" numFmtId="0">
      <sharedItems containsString="0" containsBlank="1" containsNumber="1" minValue="-113.79900000000001" maxValue="48.389000000000003"/>
    </cacheField>
    <cacheField name="coal_prod_per_capita" numFmtId="0">
      <sharedItems containsString="0" containsBlank="1" containsNumber="1" minValue="0" maxValue="12680.253000000001"/>
    </cacheField>
    <cacheField name="coal_production" numFmtId="0">
      <sharedItems containsString="0" containsBlank="1" containsNumber="1" minValue="0" maxValue="1021.692"/>
    </cacheField>
    <cacheField name="coal_share_elec" numFmtId="0">
      <sharedItems containsSemiMixedTypes="0" containsString="0" containsNumber="1" minValue="4.1999999999999997E-3" maxValue="0.56315999999999999"/>
    </cacheField>
    <cacheField name="coal_share_energy" numFmtId="0">
      <sharedItems containsSemiMixedTypes="0" containsString="0" containsNumber="1" minValue="2.052E-2" maxValue="0.28704999999999997"/>
    </cacheField>
    <cacheField name="electricity_demand" numFmtId="0">
      <sharedItems containsSemiMixedTypes="0" containsString="0" containsNumber="1" minValue="406.64" maxValue="614.54"/>
    </cacheField>
    <cacheField name="electricity_generation" numFmtId="0">
      <sharedItems containsSemiMixedTypes="0" containsString="0" containsNumber="1" minValue="468.07" maxValue="644.46"/>
    </cacheField>
    <cacheField name="electricity_share_energy" numFmtId="0">
      <sharedItems containsSemiMixedTypes="0" containsString="0" containsNumber="1" minValue="0.14202000000000001" maxValue="0.31015999999999999"/>
    </cacheField>
    <cacheField name="energy_cons_change_pct" numFmtId="0">
      <sharedItems containsSemiMixedTypes="0" containsString="0" containsNumber="1" minValue="-0.11377000000000001" maxValue="6.2449999999999999E-2"/>
    </cacheField>
    <cacheField name="energy_cons_change_twh" numFmtId="0">
      <sharedItems containsSemiMixedTypes="0" containsString="0" containsNumber="1" minValue="-295.065" maxValue="154.97300000000001"/>
    </cacheField>
    <cacheField name="energy_per_capita" numFmtId="0">
      <sharedItems containsSemiMixedTypes="0" containsString="0" containsNumber="1" minValue="35566.758000000002" maxValue="53258.633000000002"/>
    </cacheField>
    <cacheField name="energy_per_gdp" numFmtId="0">
      <sharedItems containsString="0" containsBlank="1" containsNumber="1" minValue="0.86" maxValue="1.8089999999999999"/>
    </cacheField>
    <cacheField name="fossil_cons_change_pct" numFmtId="0">
      <sharedItems containsSemiMixedTypes="0" containsString="0" containsNumber="1" minValue="-0.14278000000000002" maxValue="8.1809999999999994E-2"/>
    </cacheField>
    <cacheField name="fossil_cons_change_twh" numFmtId="0">
      <sharedItems containsSemiMixedTypes="0" containsString="0" containsNumber="1" minValue="-255.066" maxValue="141.00899999999999"/>
    </cacheField>
    <cacheField name="fossil_elec_per_capita" numFmtId="0">
      <sharedItems containsSemiMixedTypes="0" containsString="0" containsNumber="1" minValue="562.36599999999999" maxValue="4941.0079999999998"/>
    </cacheField>
    <cacheField name="fossil_electricity" numFmtId="0">
      <sharedItems containsSemiMixedTypes="0" containsString="0" containsNumber="1" minValue="33.67" maxValue="401.13"/>
    </cacheField>
    <cacheField name="fossil_energy_per_capita" numFmtId="0">
      <sharedItems containsSemiMixedTypes="0" containsString="0" containsNumber="1" minValue="17850.02" maxValue="44011.707000000002"/>
    </cacheField>
    <cacheField name="fossil_fuel_consumption" numFmtId="0">
      <sharedItems containsSemiMixedTypes="0" containsString="0" containsNumber="1" minValue="1155.9059999999999" maxValue="3578.19"/>
    </cacheField>
    <cacheField name="fossil_share_elec" numFmtId="0">
      <sharedItems containsSemiMixedTypes="0" containsString="0" containsNumber="1" minValue="6.3149999999999998E-2" maxValue="0.6662300000000001"/>
    </cacheField>
    <cacheField name="fossil_share_energy" numFmtId="0">
      <sharedItems containsSemiMixedTypes="0" containsString="0" containsNumber="1" minValue="0.4803" maxValue="0.87504000000000004"/>
    </cacheField>
    <cacheField name="gas_cons_change_pct" numFmtId="0">
      <sharedItems containsSemiMixedTypes="0" containsString="0" containsNumber="1" minValue="-0.16025999999999999" maxValue="0.11903999999999999"/>
    </cacheField>
    <cacheField name="gas_cons_change_twh" numFmtId="0">
      <sharedItems containsSemiMixedTypes="0" containsString="0" containsNumber="1" minValue="-141.93299999999999" maxValue="92.536000000000001"/>
    </cacheField>
    <cacheField name="gas_consumption" numFmtId="0">
      <sharedItems containsSemiMixedTypes="0" containsString="0" containsNumber="1" minValue="323.14999999999998" maxValue="920.06899999999996"/>
    </cacheField>
    <cacheField name="gas_elec_per_capita" numFmtId="0">
      <sharedItems containsSemiMixedTypes="0" containsString="0" containsNumber="1" containsInteger="1" minValue="61" maxValue="1140"/>
    </cacheField>
    <cacheField name="gas_electricity" numFmtId="0">
      <sharedItems containsSemiMixedTypes="0" containsString="0" containsNumber="1" minValue="3.5" maxValue="95"/>
    </cacheField>
    <cacheField name="gas_energy_per_capita" numFmtId="0">
      <sharedItems containsSemiMixedTypes="0" containsString="0" containsNumber="1" minValue="5229.4549999999999" maxValue="11333.994000000001"/>
    </cacheField>
    <cacheField name="gas_prod_change_pct" numFmtId="0">
      <sharedItems containsString="0" containsBlank="1" containsNumber="1" minValue="-0.94739999999999991" maxValue="0.25719000000000003"/>
    </cacheField>
    <cacheField name="gas_prod_change_twh" numFmtId="0">
      <sharedItems containsString="0" containsBlank="1" containsNumber="1" minValue="-16.222000000000001" maxValue="13.945"/>
    </cacheField>
    <cacheField name="gas_prod_per_capita" numFmtId="0">
      <sharedItems containsString="0" containsBlank="1" containsNumber="1" minValue="3.0950000000000002" maxValue="2290.2179999999998"/>
    </cacheField>
    <cacheField name="gas_production" numFmtId="0">
      <sharedItems containsString="0" containsBlank="1" containsNumber="1" minValue="0.19700000000000001" maxValue="186.78299999999999"/>
    </cacheField>
    <cacheField name="gas_share_elec" numFmtId="0">
      <sharedItems containsSemiMixedTypes="0" containsString="0" containsNumber="1" minValue="7.4799999999999997E-3" maxValue="0.16761999999999999"/>
    </cacheField>
    <cacheField name="gas_share_energy" numFmtId="0">
      <sharedItems containsSemiMixedTypes="0" containsString="0" containsNumber="1" minValue="0.1144" maxValue="0.25880999999999998"/>
    </cacheField>
    <cacheField name="greenhouse_gas_emissions" numFmtId="0">
      <sharedItems containsSemiMixedTypes="0" containsString="0" containsNumber="1" minValue="28.81" maxValue="348.23"/>
    </cacheField>
    <cacheField name="hydro_cons_change_pct" numFmtId="0">
      <sharedItems containsSemiMixedTypes="0" containsString="0" containsNumber="1" minValue="-0.28486999999999996" maxValue="0.31065999999999999"/>
    </cacheField>
    <cacheField name="hydro_cons_change_twh" numFmtId="0">
      <sharedItems containsSemiMixedTypes="0" containsString="0" containsNumber="1" minValue="-50.345999999999997" maxValue="41.098999999999997"/>
    </cacheField>
    <cacheField name="hydro_consumption" numFmtId="0">
      <sharedItems containsSemiMixedTypes="0" containsString="0" containsNumber="1" minValue="45.948999999999998" maxValue="232.99299999999999"/>
    </cacheField>
    <cacheField name="hydro_elec_per_capita" numFmtId="0">
      <sharedItems containsSemiMixedTypes="0" containsString="0" containsNumber="1" minValue="211.22499999999999" maxValue="1345.971"/>
    </cacheField>
    <cacheField name="hydro_electricity" numFmtId="0">
      <sharedItems containsSemiMixedTypes="0" containsString="0" containsNumber="1" minValue="17.22" maxValue="77.03"/>
    </cacheField>
    <cacheField name="hydro_energy_per_capita" numFmtId="0">
      <sharedItems containsSemiMixedTypes="0" containsString="0" containsNumber="1" minValue="551.14200000000005" maxValue="4071.165"/>
    </cacheField>
    <cacheField name="hydro_share_elec" numFmtId="0">
      <sharedItems containsSemiMixedTypes="0" containsString="0" containsNumber="1" minValue="2.7980000000000001E-2" maxValue="0.16291"/>
    </cacheField>
    <cacheField name="hydro_share_energy" numFmtId="0">
      <sharedItems containsSemiMixedTypes="0" containsString="0" containsNumber="1" minValue="1.2359999999999999E-2" maxValue="8.2479999999999998E-2"/>
    </cacheField>
    <cacheField name="low_carbon_cons_change_pct" numFmtId="0">
      <sharedItems containsSemiMixedTypes="0" containsString="0" containsNumber="1" minValue="-0.16478000000000001" maxValue="0.15881000000000001"/>
    </cacheField>
    <cacheField name="low_carbon_cons_change_twh" numFmtId="0">
      <sharedItems containsSemiMixedTypes="0" containsString="0" containsNumber="1" minValue="-233.3" maxValue="177.97200000000001"/>
    </cacheField>
    <cacheField name="low_carbon_consumption" numFmtId="0">
      <sharedItems containsSemiMixedTypes="0" containsString="0" containsNumber="1" minValue="497.82" maxValue="1428.8019999999999"/>
    </cacheField>
    <cacheField name="low_carbon_elec_per_capita" numFmtId="0">
      <sharedItems containsSemiMixedTypes="0" containsString="0" containsNumber="1" minValue="2152.886" maxValue="8495.6460000000006"/>
    </cacheField>
    <cacheField name="low_carbon_electricity" numFmtId="0">
      <sharedItems containsSemiMixedTypes="0" containsString="0" containsNumber="1" minValue="173.8" maxValue="530.51"/>
    </cacheField>
    <cacheField name="low_carbon_energy_per_capita" numFmtId="0">
      <sharedItems containsSemiMixedTypes="0" containsString="0" containsNumber="1" minValue="6154.8869999999997" maxValue="24061.445"/>
    </cacheField>
    <cacheField name="low_carbon_share_elec" numFmtId="0">
      <sharedItems containsSemiMixedTypes="0" containsString="0" containsNumber="1" minValue="0.33377000000000001" maxValue="0.93685000000000007"/>
    </cacheField>
    <cacheField name="low_carbon_share_energy" numFmtId="0">
      <sharedItems containsSemiMixedTypes="0" containsString="0" containsNumber="1" minValue="0.12496" maxValue="0.51969999999999994"/>
    </cacheField>
    <cacheField name="net_elec_imports" numFmtId="0">
      <sharedItems containsSemiMixedTypes="0" containsString="0" containsNumber="1" minValue="-77.03" maxValue="14.94"/>
    </cacheField>
    <cacheField name="net_elec_imports_share_demand" numFmtId="0">
      <sharedItems containsSemiMixedTypes="0" containsString="0" containsNumber="1" minValue="-0.16646" maxValue="3.0849999999999999E-2"/>
    </cacheField>
    <cacheField name="nuclear_cons_change_pct" numFmtId="0">
      <sharedItems containsSemiMixedTypes="0" containsString="0" containsNumber="1" minValue="-0.79209999999999992" maxValue="0.14749000000000001"/>
    </cacheField>
    <cacheField name="nuclear_cons_change_twh" numFmtId="0">
      <sharedItems containsSemiMixedTypes="0" containsString="0" containsNumber="1" minValue="-215.20099999999999" maxValue="105.682"/>
    </cacheField>
    <cacheField name="nuclear_consumption" numFmtId="0">
      <sharedItems containsSemiMixedTypes="0" containsString="0" containsNumber="1" minValue="17.986999999999998" maxValue="1240.675"/>
    </cacheField>
    <cacheField name="nuclear_elec_per_capita" numFmtId="0">
      <sharedItems containsSemiMixedTypes="0" containsString="0" containsNumber="1" containsInteger="1" minValue="105" maxValue="7462"/>
    </cacheField>
    <cacheField name="nuclear_electricity" numFmtId="0">
      <sharedItems containsSemiMixedTypes="0" containsString="0" containsNumber="1" containsInteger="1" minValue="9" maxValue="452"/>
    </cacheField>
    <cacheField name="nuclear_energy_per_capita" numFmtId="0">
      <sharedItems containsSemiMixedTypes="0" containsString="0" containsNumber="1" minValue="215.94900000000001" maxValue="20620.828000000001"/>
    </cacheField>
    <cacheField name="nuclear_share_elec" numFmtId="0">
      <sharedItems containsSemiMixedTypes="0" containsString="0" containsNumber="1" minValue="0.02" maxValue="0.79"/>
    </cacheField>
    <cacheField name="nuclear_share_energy" numFmtId="0">
      <sharedItems containsSemiMixedTypes="0" containsString="0" containsNumber="1" minValue="5.6799999999999993E-3" maxValue="0.40570000000000001"/>
    </cacheField>
    <cacheField name="oil_cons_change_pct" numFmtId="0">
      <sharedItems containsSemiMixedTypes="0" containsString="0" containsNumber="1" minValue="-0.16507000000000002" maxValue="7.3760000000000006E-2"/>
    </cacheField>
    <cacheField name="oil_cons_change_twh" numFmtId="0">
      <sharedItems containsSemiMixedTypes="0" containsString="0" containsNumber="1" minValue="-144.00899999999999" maxValue="79.611000000000004"/>
    </cacheField>
    <cacheField name="oil_consumption" numFmtId="0">
      <sharedItems containsSemiMixedTypes="0" containsString="0" containsNumber="1" minValue="728.38900000000001" maxValue="1658.8779999999999"/>
    </cacheField>
    <cacheField name="oil_elec_per_capita" numFmtId="0">
      <sharedItems containsSemiMixedTypes="0" containsString="0" containsNumber="1" minValue="141.88300000000001" maxValue="329.03100000000001"/>
    </cacheField>
    <cacheField name="oil_electricity" numFmtId="0">
      <sharedItems containsSemiMixedTypes="0" containsString="0" containsNumber="1" minValue="8.81" maxValue="26.71"/>
    </cacheField>
    <cacheField name="oil_energy_per_capita" numFmtId="0">
      <sharedItems containsSemiMixedTypes="0" containsString="0" containsNumber="1" minValue="11296.34" maxValue="20439.384999999998"/>
    </cacheField>
    <cacheField name="oil_prod_change_pct" numFmtId="0">
      <sharedItems containsString="0" containsBlank="1" containsNumber="1" minValue="-0.17618999999999999" maxValue="0.16350000000000001"/>
    </cacheField>
    <cacheField name="oil_prod_change_twh" numFmtId="0">
      <sharedItems containsString="0" containsBlank="1" containsNumber="1" minValue="-5.7869999999999999" maxValue="5.7060000000000004"/>
    </cacheField>
    <cacheField name="oil_prod_per_capita" numFmtId="0">
      <sharedItems containsString="0" containsBlank="1" containsNumber="1" minValue="158.941" maxValue="723.19299999999998"/>
    </cacheField>
    <cacheField name="oil_production" numFmtId="0">
      <sharedItems containsString="0" containsBlank="1" containsNumber="1" minValue="10.106999999999999" maxValue="45.872"/>
    </cacheField>
    <cacheField name="oil_share_elec" numFmtId="0">
      <sharedItems containsSemiMixedTypes="0" containsString="0" containsNumber="1" minValue="1.6659999999999998E-2" maxValue="4.3250000000000004E-2"/>
    </cacheField>
    <cacheField name="oil_share_energy" numFmtId="0">
      <sharedItems containsSemiMixedTypes="0" containsString="0" containsNumber="1" minValue="0.29838000000000003" maxValue="0.41271999999999998"/>
    </cacheField>
    <cacheField name="other_renewable_consumption" numFmtId="0">
      <sharedItems containsSemiMixedTypes="0" containsString="0" containsNumber="1" minValue="5.3090000000000002" maxValue="165.541"/>
    </cacheField>
    <cacheField name="other_renewable_electricity" numFmtId="0">
      <sharedItems containsSemiMixedTypes="0" containsString="0" containsNumber="1" minValue="1.97" maxValue="51.16"/>
    </cacheField>
    <cacheField name="other_renewable_exc_biofuel_electricity" numFmtId="0">
      <sharedItems containsSemiMixedTypes="0" containsString="0" containsNumber="1" minValue="0" maxValue="0.65"/>
    </cacheField>
    <cacheField name="other_renewables_cons_change_pct" numFmtId="0">
      <sharedItems containsSemiMixedTypes="0" containsString="0" containsNumber="1" minValue="-7.4980000000000005E-2" maxValue="0.52941000000000005"/>
    </cacheField>
    <cacheField name="other_renewables_cons_change_twh" numFmtId="0">
      <sharedItems containsSemiMixedTypes="0" containsString="0" containsNumber="1" minValue="-7.7" maxValue="20.169"/>
    </cacheField>
    <cacheField name="other_renewables_elec_per_capita" numFmtId="0">
      <sharedItems containsSemiMixedTypes="0" containsString="0" containsNumber="1" containsInteger="1" minValue="24" maxValue="621"/>
    </cacheField>
    <cacheField name="other_renewables_elec_per_capita_exc_biofuel" numFmtId="0">
      <sharedItems containsSemiMixedTypes="0" containsString="0" containsNumber="1" containsInteger="1" minValue="0" maxValue="10"/>
    </cacheField>
    <cacheField name="other_renewables_energy_per_capita" numFmtId="0">
      <sharedItems containsSemiMixedTypes="0" containsString="0" containsNumber="1" minValue="65.885999999999996" maxValue="1985.6279999999999"/>
    </cacheField>
    <cacheField name="other_renewables_share_elec" numFmtId="0">
      <sharedItems containsSemiMixedTypes="0" containsString="0" containsNumber="1" minValue="3.7799999999999999E-3" maxValue="9.1579999999999995E-2"/>
    </cacheField>
    <cacheField name="other_renewables_share_elec_exc_biofuel" numFmtId="0">
      <sharedItems containsSemiMixedTypes="0" containsString="0" containsNumber="1" minValue="0" maxValue="1.2800000000000001E-3"/>
    </cacheField>
    <cacheField name="other_renewables_share_energy" numFmtId="0">
      <sharedItems containsSemiMixedTypes="0" containsString="0" containsNumber="1" minValue="1.33E-3" maxValue="4.9800000000000004E-2"/>
    </cacheField>
    <cacheField name="per_capita_electricity" numFmtId="0">
      <sharedItems containsSemiMixedTypes="0" containsString="0" containsNumber="1" minValue="6060.2950000000001" maxValue="9421.3070000000007"/>
    </cacheField>
    <cacheField name="primary_energy_consumption" numFmtId="0">
      <sharedItems containsSemiMixedTypes="0" containsString="0" containsNumber="1" minValue="2298.56" maxValue="4105.8459999999995"/>
    </cacheField>
    <cacheField name="renewables_cons_change_pct" numFmtId="0">
      <sharedItems containsSemiMixedTypes="0" containsString="0" containsNumber="1" minValue="-0.16396999999999998" maxValue="0.32319999999999999"/>
    </cacheField>
    <cacheField name="renewables_cons_change_twh" numFmtId="0">
      <sharedItems containsSemiMixedTypes="0" containsString="0" containsNumber="1" minValue="-51.639000000000003" maxValue="72.290000000000006"/>
    </cacheField>
    <cacheField name="renewables_consumption" numFmtId="0">
      <sharedItems containsSemiMixedTypes="0" containsString="0" containsNumber="1" minValue="63.207999999999998" maxValue="773.18600000000004"/>
    </cacheField>
    <cacheField name="renewables_elec_per_capita" numFmtId="0">
      <sharedItems containsSemiMixedTypes="0" containsString="0" containsNumber="1" minValue="254.67400000000001" maxValue="3176.1950000000002"/>
    </cacheField>
    <cacheField name="renewables_electricity" numFmtId="0">
      <sharedItems containsSemiMixedTypes="0" containsString="0" containsNumber="1" minValue="20.52" maxValue="264.56"/>
    </cacheField>
    <cacheField name="renewables_energy_per_capita" numFmtId="0">
      <sharedItems containsSemiMixedTypes="0" containsString="0" containsNumber="1" minValue="784.471" maxValue="9282.5460000000003"/>
    </cacheField>
    <cacheField name="renewables_share_elec" numFmtId="0">
      <sharedItems containsSemiMixedTypes="0" containsString="0" containsNumber="1" minValue="3.9410000000000001E-2" maxValue="0.52410000000000001"/>
    </cacheField>
    <cacheField name="renewables_share_energy" numFmtId="0">
      <sharedItems containsSemiMixedTypes="0" containsString="0" containsNumber="1" minValue="1.584E-2" maxValue="0.24393999999999999"/>
    </cacheField>
    <cacheField name="solar_cons_change_pct" numFmtId="0">
      <sharedItems containsString="0" containsBlank="1" containsNumber="1" minValue="-1" maxValue="3.1428600000000002"/>
    </cacheField>
    <cacheField name="solar_cons_change_twh" numFmtId="0">
      <sharedItems containsSemiMixedTypes="0" containsString="0" containsNumber="1" minValue="-1.9990000000000001" maxValue="28.114000000000001"/>
    </cacheField>
    <cacheField name="solar_consumption" numFmtId="0">
      <sharedItems containsSemiMixedTypes="0" containsString="0" containsNumber="1" minValue="0" maxValue="159.018"/>
    </cacheField>
    <cacheField name="solar_elec_per_capita" numFmtId="0">
      <sharedItems containsSemiMixedTypes="0" containsString="0" containsNumber="1" minValue="0" maxValue="739.06299999999999"/>
    </cacheField>
    <cacheField name="solar_electricity" numFmtId="0">
      <sharedItems containsSemiMixedTypes="0" containsString="0" containsNumber="1" minValue="0" maxValue="61.56"/>
    </cacheField>
    <cacheField name="solar_energy_per_capita" numFmtId="0">
      <sharedItems containsSemiMixedTypes="0" containsString="0" containsNumber="1" minValue="0" maxValue="1909.1079999999999"/>
    </cacheField>
    <cacheField name="solar_share_elec" numFmtId="0">
      <sharedItems containsSemiMixedTypes="0" containsString="0" containsNumber="1" minValue="0" maxValue="0.12195"/>
    </cacheField>
    <cacheField name="solar_share_energy" numFmtId="0">
      <sharedItems containsSemiMixedTypes="0" containsString="0" containsNumber="1" minValue="0" maxValue="5.0170000000000006E-2"/>
    </cacheField>
    <cacheField name="wind_cons_change_pct" numFmtId="0">
      <sharedItems containsSemiMixedTypes="0" containsString="0" containsNumber="1" minValue="-0.13213" maxValue="3.9063699999999999"/>
    </cacheField>
    <cacheField name="wind_cons_change_twh" numFmtId="0">
      <sharedItems containsSemiMixedTypes="0" containsString="0" containsNumber="1" minValue="-46.944000000000003" maxValue="67.319999999999993"/>
    </cacheField>
    <cacheField name="wind_consumption" numFmtId="0">
      <sharedItems containsSemiMixedTypes="0" containsString="0" containsNumber="1" minValue="7.0000000000000001E-3" maxValue="369.13600000000002"/>
    </cacheField>
    <cacheField name="wind_elec_per_capita" numFmtId="0">
      <sharedItems containsSemiMixedTypes="0" containsString="0" containsNumber="1" containsInteger="1" minValue="0" maxValue="1648"/>
    </cacheField>
    <cacheField name="wind_electricity" numFmtId="0">
      <sharedItems containsSemiMixedTypes="0" containsString="0" containsNumber="1" minValue="0" maxValue="137.29"/>
    </cacheField>
    <cacheField name="wind_energy_per_capita" numFmtId="0">
      <sharedItems containsSemiMixedTypes="0" containsString="0" containsNumber="1" minValue="0.125" maxValue="4431.6850000000004"/>
    </cacheField>
    <cacheField name="wind_share_elec" numFmtId="0">
      <sharedItems containsSemiMixedTypes="0" containsString="0" containsNumber="1" minValue="0" maxValue="0.27196999999999999"/>
    </cacheField>
    <cacheField name="wind_share_energy" numFmtId="0">
      <sharedItems containsSemiMixedTypes="0" containsString="0" containsNumber="1" minValue="0" maxValue="0.11646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x v="0"/>
    <x v="0"/>
    <s v="FRA"/>
    <n v="57053728"/>
    <n v="1671995850752"/>
    <n v="1671995.850752"/>
    <n v="3.9957499999999997"/>
    <n v="0.28899999999999998"/>
    <n v="6.343"/>
    <n v="0.36199999999999999"/>
    <n v="26"/>
    <n v="1.48"/>
    <n v="3.16E-3"/>
    <n v="1.2999999999999999E-4"/>
    <n v="68.75"/>
    <n v="-0.21199999999999999"/>
    <n v="-45.837000000000003"/>
    <n v="2986.1080000000002"/>
    <n v="170.369"/>
    <n v="367.37299999999999"/>
    <n v="20.96"/>
    <n v="-8.0489999999999992E-2"/>
    <n v="-6.407"/>
    <n v="1282.838"/>
    <n v="73.191000000000003"/>
    <n v="4.478E-2"/>
    <n v="5.9699999999999996E-2"/>
    <n v="406.64"/>
    <n v="468.07"/>
    <n v="0.22894999999999999"/>
    <n v="-1.4199999999999998E-3"/>
    <n v="-4.0529999999999999"/>
    <n v="50021.061999999998"/>
    <n v="1.7070000000000001"/>
    <n v="-4.5190000000000001E-2"/>
    <n v="-76.225999999999999"/>
    <n v="606.62099999999998"/>
    <n v="34.61"/>
    <n v="28229.182000000001"/>
    <n v="1610.58"/>
    <n v="7.3940000000000006E-2"/>
    <n v="0.56435000000000002"/>
    <n v="2.273E-2"/>
    <n v="7.5250000000000004"/>
    <n v="338.51499999999999"/>
    <n v="61"/>
    <n v="3.5"/>
    <n v="5933.2619999999997"/>
    <n v="3.6049999999999999E-2"/>
    <n v="1.298"/>
    <n v="653.79899999999998"/>
    <n v="37.302"/>
    <n v="7.4799999999999997E-3"/>
    <n v="0.11862"/>
    <n v="32.18"/>
    <n v="-5.8890000000000005E-2"/>
    <n v="-12.007999999999999"/>
    <n v="191.89400000000001"/>
    <n v="1109.48"/>
    <n v="63.3"/>
    <n v="3363.3870000000002"/>
    <n v="0.13524"/>
    <n v="6.7240000000000008E-2"/>
    <n v="6.3019999999999993E-2"/>
    <n v="72.173000000000002"/>
    <n v="1243.308"/>
    <n v="7597.4"/>
    <n v="433.46"/>
    <n v="21791.883000000002"/>
    <n v="0.92605999999999999"/>
    <n v="0.43564999999999998"/>
    <n v="-61.43"/>
    <n v="-0.15106999999999998"/>
    <n v="8.788E-2"/>
    <n v="84.396000000000001"/>
    <n v="1044.739"/>
    <n v="6453"/>
    <n v="368"/>
    <n v="18311.491999999998"/>
    <n v="0.79"/>
    <n v="0.36607999999999996"/>
    <n v="-3.3270000000000001E-2"/>
    <n v="-37.914000000000001"/>
    <n v="1101.6969999999999"/>
    <n v="177.90199999999999"/>
    <n v="10.15"/>
    <n v="19309.811000000002"/>
    <n v="-4.6920000000000003E-2"/>
    <n v="-2.0019999999999998"/>
    <n v="712.72500000000002"/>
    <n v="40.664000000000001"/>
    <n v="2.1680000000000001E-2"/>
    <n v="0.38603000000000004"/>
    <n v="6.3010000000000002"/>
    <n v="1.97"/>
    <n v="0.49"/>
    <n v="-7.4980000000000005E-2"/>
    <n v="-0.51100000000000001"/>
    <n v="35"/>
    <n v="9"/>
    <n v="110.447"/>
    <n v="4.2100000000000002E-3"/>
    <n v="1.0499999999999999E-3"/>
    <n v="2.2100000000000002E-3"/>
    <n v="8204.0210000000006"/>
    <n v="2853.8879999999999"/>
    <n v="-5.5220000000000005E-2"/>
    <n v="-12.223000000000001"/>
    <n v="198.56899999999999"/>
    <n v="1144.009"/>
    <n v="65.27"/>
    <n v="3480.3890000000001"/>
    <n v="0.13944000000000001"/>
    <n v="6.9580000000000003E-2"/>
    <n v="0.13105"/>
    <n v="1E-3"/>
    <n v="5.0000000000000001E-3"/>
    <n v="0"/>
    <n v="0"/>
    <n v="8.6999999999999994E-2"/>
    <n v="0"/>
    <n v="0"/>
    <n v="3.9063699999999999"/>
    <n v="6.0000000000000001E-3"/>
    <n v="7.0000000000000001E-3"/>
    <n v="0"/>
    <n v="0"/>
    <n v="0.125"/>
    <n v="0"/>
    <n v="0"/>
  </r>
  <r>
    <x v="1"/>
    <x v="0"/>
    <s v="DEU"/>
    <n v="80573496"/>
    <n v="2206290935808"/>
    <n v="2206290.9358080002"/>
    <n v="4.0000000000000003E-5"/>
    <n v="0"/>
    <n v="0.63800000000000001"/>
    <n v="5.0999999999999997E-2"/>
    <n v="24"/>
    <n v="1.97"/>
    <n v="3.7799999999999999E-3"/>
    <n v="1.0000000000000001E-5"/>
    <n v="607.755"/>
    <n v="-5.6590000000000001E-2"/>
    <n v="-68.724000000000004"/>
    <n v="14220.236000000001"/>
    <n v="1145.7739999999999"/>
    <n v="3639.5340000000001"/>
    <n v="293.25"/>
    <n v="-0.10022"/>
    <n v="-113.79900000000001"/>
    <n v="12680.253000000001"/>
    <n v="1021.692"/>
    <n v="0.56315999999999999"/>
    <n v="0.28704999999999997"/>
    <n v="521.59"/>
    <n v="520.72"/>
    <n v="0.14202000000000001"/>
    <n v="-4.4400000000000004E-3"/>
    <n v="-17.811"/>
    <n v="49538.949000000001"/>
    <n v="1.8089999999999999"/>
    <n v="-1.4399999999999999E-3"/>
    <n v="-5.0199999999999996"/>
    <n v="4305.6350000000002"/>
    <n v="346.92"/>
    <n v="43348.75"/>
    <n v="3492.76"/>
    <n v="0.6662300000000001"/>
    <n v="0.87504000000000004"/>
    <n v="5.8169999999999999E-2"/>
    <n v="38.485999999999997"/>
    <n v="700.11300000000006"/>
    <n v="407"/>
    <n v="32.799999999999997"/>
    <n v="8689.1260000000002"/>
    <n v="-4.8399999999999997E-3"/>
    <n v="-0.75600000000000001"/>
    <n v="1928.7180000000001"/>
    <n v="155.404"/>
    <n v="6.2990000000000004E-2"/>
    <n v="0.1754"/>
    <n v="316.47000000000003"/>
    <n v="1.7440000000000001E-2"/>
    <n v="0.96099999999999997"/>
    <n v="56.064999999999998"/>
    <n v="221.90899999999999"/>
    <n v="17.88"/>
    <n v="695.81799999999998"/>
    <n v="3.4340000000000002E-2"/>
    <n v="1.405E-2"/>
    <n v="-2.5360000000000001E-2"/>
    <n v="-12.791"/>
    <n v="498.76600000000002"/>
    <n v="2157.0369999999998"/>
    <n v="173.8"/>
    <n v="6190.201"/>
    <n v="0.33377000000000001"/>
    <n v="0.12496"/>
    <n v="0.87"/>
    <n v="1.67E-3"/>
    <n v="-3.338E-2"/>
    <n v="-15.039"/>
    <n v="435.55900000000003"/>
    <n v="1902"/>
    <n v="153"/>
    <n v="5405.7290000000003"/>
    <n v="0.28999999999999998"/>
    <n v="0.10912000000000001"/>
    <n v="1.555E-2"/>
    <n v="25.218"/>
    <n v="1646.873"/>
    <n v="259.01799999999997"/>
    <n v="20.87"/>
    <n v="20439.384999999998"/>
    <n v="-3.4390000000000004E-2"/>
    <n v="-1.3779999999999999"/>
    <n v="480.34100000000001"/>
    <n v="38.703000000000003"/>
    <n v="4.0079999999999998E-2"/>
    <n v="0.41259000000000001"/>
    <n v="5.3090000000000002"/>
    <n v="1.97"/>
    <n v="0"/>
    <n v="6.4659999999999995E-2"/>
    <n v="0.32200000000000001"/>
    <n v="24"/>
    <n v="0"/>
    <n v="65.885999999999996"/>
    <n v="3.7799999999999999E-3"/>
    <n v="0"/>
    <n v="1.33E-3"/>
    <n v="6462.67"/>
    <n v="3991.5259999999998"/>
    <n v="3.6639999999999999E-2"/>
    <n v="2.2469999999999999"/>
    <n v="63.207999999999998"/>
    <n v="254.67400000000001"/>
    <n v="20.52"/>
    <n v="784.471"/>
    <n v="3.9410000000000001E-2"/>
    <n v="1.584E-2"/>
    <n v="0.5"/>
    <n v="3.0000000000000001E-3"/>
    <n v="8.9999999999999993E-3"/>
    <n v="0"/>
    <n v="0"/>
    <n v="0.11"/>
    <n v="0"/>
    <n v="0"/>
    <n v="1.1818200000000001"/>
    <n v="0.96099999999999997"/>
    <n v="1.774"/>
    <n v="8"/>
    <n v="0.67"/>
    <n v="22.02"/>
    <n v="1.2900000000000001E-3"/>
    <n v="4.3999999999999996E-4"/>
  </r>
  <r>
    <x v="0"/>
    <x v="1"/>
    <s v="FRA"/>
    <n v="57230064"/>
    <n v="1712086450176"/>
    <n v="1712086.4501759999"/>
    <n v="2.0217299999999998"/>
    <n v="0.73199999999999998"/>
    <n v="19.108000000000001"/>
    <n v="1.0940000000000001"/>
    <n v="29"/>
    <n v="1.66"/>
    <n v="3.5099999999999997E-3"/>
    <n v="3.8999999999999999E-4"/>
    <n v="67.274000000000001"/>
    <n v="-8.7200000000000003E-3"/>
    <n v="-1.486"/>
    <n v="2950.9380000000001"/>
    <n v="168.88200000000001"/>
    <n v="365.19299999999998"/>
    <n v="20.9"/>
    <n v="-0.11906"/>
    <n v="-8.7140000000000004"/>
    <n v="1126.6210000000001"/>
    <n v="64.477000000000004"/>
    <n v="4.4199999999999996E-2"/>
    <n v="5.9790000000000003E-2"/>
    <n v="409.67"/>
    <n v="472.84"/>
    <n v="0.23612"/>
    <n v="-1.0209999999999999E-2"/>
    <n v="-29.129000000000001"/>
    <n v="49357.964999999997"/>
    <n v="1.65"/>
    <n v="-2.997E-2"/>
    <n v="-48.264000000000003"/>
    <n v="588.327"/>
    <n v="33.67"/>
    <n v="27298.877"/>
    <n v="1562.317"/>
    <n v="7.1210000000000009E-2"/>
    <n v="0.55308000000000002"/>
    <n v="-4.539E-2"/>
    <n v="-15.365"/>
    <n v="323.14999999999998"/>
    <n v="63"/>
    <n v="3.63"/>
    <n v="5646.5119999999997"/>
    <n v="3.2160000000000001E-2"/>
    <n v="1.2"/>
    <n v="672.74800000000005"/>
    <n v="38.500999999999998"/>
    <n v="7.6800000000000002E-3"/>
    <n v="0.1144"/>
    <n v="31.81"/>
    <n v="0.21417999999999998"/>
    <n v="41.098999999999997"/>
    <n v="232.99299999999999"/>
    <n v="1345.971"/>
    <n v="77.03"/>
    <n v="4071.165"/>
    <n v="0.16291"/>
    <n v="8.2479999999999998E-2"/>
    <n v="1.5180000000000001E-2"/>
    <n v="19.135000000000002"/>
    <n v="1262.443"/>
    <n v="7673.7640000000001"/>
    <n v="439.17"/>
    <n v="22059.09"/>
    <n v="0.92879"/>
    <n v="0.44691999999999998"/>
    <n v="-63.17"/>
    <n v="-0.1542"/>
    <n v="-2.2290000000000001E-2"/>
    <n v="-23.286999999999999"/>
    <n v="1021.451"/>
    <n v="6290"/>
    <n v="360"/>
    <n v="17848.162"/>
    <n v="0.76"/>
    <n v="0.36160999999999999"/>
    <n v="-2.8510000000000001E-2"/>
    <n v="-31.413"/>
    <n v="1070.2840000000001"/>
    <n v="159.70599999999999"/>
    <n v="9.14"/>
    <n v="18701.425999999999"/>
    <n v="1.7819999999999999E-2"/>
    <n v="0.72499999999999998"/>
    <n v="723.19299999999998"/>
    <n v="41.387999999999998"/>
    <n v="1.933E-2"/>
    <n v="0.37889"/>
    <n v="6.8860000000000001"/>
    <n v="2.16"/>
    <n v="0.5"/>
    <n v="9.2710000000000015E-2"/>
    <n v="0.58399999999999996"/>
    <n v="38"/>
    <n v="9"/>
    <n v="120.31399999999999"/>
    <n v="4.5700000000000003E-3"/>
    <n v="1.06E-3"/>
    <n v="2.4399999999999999E-3"/>
    <n v="8262.0910000000003"/>
    <n v="2824.76"/>
    <n v="0.22036"/>
    <n v="42.421999999999997"/>
    <n v="240.99199999999999"/>
    <n v="1383.713"/>
    <n v="79.19"/>
    <n v="4210.9269999999997"/>
    <n v="0.16748000000000002"/>
    <n v="8.5310000000000011E-2"/>
    <n v="0.11616"/>
    <n v="1E-3"/>
    <n v="6.0000000000000001E-3"/>
    <n v="0"/>
    <n v="0"/>
    <n v="9.7000000000000003E-2"/>
    <n v="0"/>
    <n v="0"/>
    <n v="0.95822000000000007"/>
    <n v="7.0000000000000001E-3"/>
    <n v="1.4E-2"/>
    <n v="0"/>
    <n v="0"/>
    <n v="0.24299999999999999"/>
    <n v="0"/>
    <n v="0"/>
  </r>
  <r>
    <x v="1"/>
    <x v="1"/>
    <s v="DEU"/>
    <n v="80882120"/>
    <n v="2283952930816"/>
    <n v="2283952.9308159999"/>
    <n v="4.5986000000000002"/>
    <n v="0.23599999999999999"/>
    <n v="3.556"/>
    <n v="0.28799999999999998"/>
    <n v="26"/>
    <n v="2.0699999999999998"/>
    <n v="3.9700000000000004E-3"/>
    <n v="7.0000000000000007E-5"/>
    <n v="604.28"/>
    <n v="-2.9960000000000001E-2"/>
    <n v="-34.323"/>
    <n v="13741.624"/>
    <n v="1111.452"/>
    <n v="3589.0509999999999"/>
    <n v="290.29000000000002"/>
    <n v="-7.8560000000000005E-2"/>
    <n v="-80.260999999999996"/>
    <n v="11639.553"/>
    <n v="941.43200000000002"/>
    <n v="0.55713000000000001"/>
    <n v="0.28108"/>
    <n v="523.39"/>
    <n v="521.04999999999995"/>
    <n v="0.14351"/>
    <n v="-9.3600000000000003E-3"/>
    <n v="-37.353999999999999"/>
    <n v="48888.086000000003"/>
    <n v="1.7310000000000001"/>
    <n v="-1.042E-2"/>
    <n v="-36.408999999999999"/>
    <n v="4289.2060000000001"/>
    <n v="346.92"/>
    <n v="42733.195"/>
    <n v="3456.3519999999999"/>
    <n v="0.66581000000000001"/>
    <n v="0.87409999999999999"/>
    <n v="1.83E-2"/>
    <n v="12.814"/>
    <n v="712.92700000000002"/>
    <n v="446"/>
    <n v="36.1"/>
    <n v="8814.3979999999992"/>
    <n v="4.8369999999999996E-2"/>
    <n v="7.5170000000000003"/>
    <n v="2014.3009999999999"/>
    <n v="162.92099999999999"/>
    <n v="6.9279999999999994E-2"/>
    <n v="0.18030000000000002"/>
    <n v="314.86"/>
    <n v="6.5140000000000003E-2"/>
    <n v="3.6520000000000001"/>
    <n v="59.716000000000001"/>
    <n v="246.40799999999999"/>
    <n v="19.93"/>
    <n v="738.31399999999996"/>
    <n v="3.8249999999999999E-2"/>
    <n v="1.5100000000000001E-2"/>
    <n v="-1.58E-3"/>
    <n v="-0.94599999999999995"/>
    <n v="497.82"/>
    <n v="2152.886"/>
    <n v="174.13"/>
    <n v="6154.8869999999997"/>
    <n v="0.33418999999999999"/>
    <n v="0.12590000000000001"/>
    <n v="2.34"/>
    <n v="4.47E-3"/>
    <n v="-1.498E-2"/>
    <n v="-6.5259999999999998"/>
    <n v="429.03199999999998"/>
    <n v="1863"/>
    <n v="151"/>
    <n v="5304.4139999999998"/>
    <n v="0.28999999999999998"/>
    <n v="0.1085"/>
    <n v="-9.0500000000000008E-3"/>
    <n v="-14.9"/>
    <n v="1631.973"/>
    <n v="253.82599999999999"/>
    <n v="20.53"/>
    <n v="20177.175999999999"/>
    <n v="-3.9789999999999999E-2"/>
    <n v="-1.54"/>
    <n v="459.46699999999998"/>
    <n v="37.162999999999997"/>
    <n v="3.9399999999999998E-2"/>
    <n v="0.41271999999999998"/>
    <n v="6.0839999999999996"/>
    <n v="2.0699999999999998"/>
    <n v="0"/>
    <n v="0.14612"/>
    <n v="0.77600000000000002"/>
    <n v="26"/>
    <n v="0"/>
    <n v="75.224999999999994"/>
    <n v="3.9700000000000004E-3"/>
    <n v="0"/>
    <n v="1.5399999999999999E-3"/>
    <n v="6442.0910000000003"/>
    <n v="3954.172"/>
    <n v="9.5139999999999988E-2"/>
    <n v="5.5810000000000004"/>
    <n v="68.787999999999997"/>
    <n v="289.68099999999998"/>
    <n v="23.43"/>
    <n v="850.47299999999996"/>
    <n v="4.4969999999999996E-2"/>
    <n v="1.7399999999999999E-2"/>
    <n v="0.33332999999999996"/>
    <n v="3.0000000000000001E-3"/>
    <n v="1.2E-2"/>
    <n v="0"/>
    <n v="0"/>
    <n v="0.14599999999999999"/>
    <n v="0"/>
    <n v="0"/>
    <n v="0.51500000000000001"/>
    <n v="0.91400000000000003"/>
    <n v="2.6880000000000002"/>
    <n v="18"/>
    <n v="1.43"/>
    <n v="33.231999999999999"/>
    <n v="2.7400000000000002E-3"/>
    <n v="6.8000000000000005E-4"/>
  </r>
  <r>
    <x v="0"/>
    <x v="2"/>
    <s v="FRA"/>
    <n v="57420356"/>
    <n v="1748659601408"/>
    <n v="1748659.6014080001"/>
    <n v="0.58924999999999994"/>
    <n v="0.64400000000000002"/>
    <n v="30.266999999999999"/>
    <n v="1.738"/>
    <n v="32"/>
    <n v="1.82"/>
    <n v="3.7199999999999998E-3"/>
    <n v="5.9999999999999995E-4"/>
    <n v="73.456000000000003"/>
    <n v="6.5159999999999996E-2"/>
    <n v="11.004"/>
    <n v="3132.7950000000001"/>
    <n v="179.886"/>
    <n v="421.10500000000002"/>
    <n v="24.18"/>
    <n v="-4.7889999999999995E-2"/>
    <n v="-3.0880000000000001"/>
    <n v="1069.107"/>
    <n v="61.389000000000003"/>
    <n v="4.9409999999999996E-2"/>
    <n v="6.1940000000000002E-2"/>
    <n v="419.57"/>
    <n v="489.41"/>
    <n v="0.23745999999999998"/>
    <n v="2.8119999999999999E-2"/>
    <n v="79.438000000000002"/>
    <n v="50577.843999999997"/>
    <n v="1.661"/>
    <n v="2.9489999999999999E-2"/>
    <n v="46.078000000000003"/>
    <n v="670.84199999999998"/>
    <n v="38.520000000000003"/>
    <n v="28010.877"/>
    <n v="1608.395"/>
    <n v="7.8710000000000002E-2"/>
    <n v="0.55381999999999998"/>
    <n v="6.4450000000000007E-2"/>
    <n v="20.827999999999999"/>
    <n v="343.97800000000001"/>
    <n v="67"/>
    <n v="3.84"/>
    <n v="5990.5280000000002"/>
    <n v="-6.1780000000000002E-2"/>
    <n v="-2.379"/>
    <n v="629.09100000000001"/>
    <n v="36.122999999999998"/>
    <n v="7.8500000000000011E-3"/>
    <n v="0.11843999999999999"/>
    <n v="35.950000000000003"/>
    <n v="-7.2020000000000001E-2"/>
    <n v="-16.780999999999999"/>
    <n v="216.21199999999999"/>
    <n v="1242.242"/>
    <n v="71.33"/>
    <n v="3765.4259999999999"/>
    <n v="0.14574999999999999"/>
    <n v="7.4450000000000002E-2"/>
    <n v="2.8029999999999999E-2"/>
    <n v="33.36"/>
    <n v="1295.8030000000001"/>
    <n v="7852.442"/>
    <n v="450.89"/>
    <n v="22566.967000000001"/>
    <n v="0.92129000000000005"/>
    <n v="0.44618000000000002"/>
    <n v="-69.84"/>
    <n v="-0.16646"/>
    <n v="4.7919999999999997E-2"/>
    <n v="48.947000000000003"/>
    <n v="1070.3989999999999"/>
    <n v="6570"/>
    <n v="377"/>
    <n v="18641.447"/>
    <n v="0.77"/>
    <n v="0.36857000000000001"/>
    <n v="1.3309999999999999E-2"/>
    <n v="14.246"/>
    <n v="1084.53"/>
    <n v="182.86199999999999"/>
    <n v="10.5"/>
    <n v="18887.553"/>
    <n v="-0.1009"/>
    <n v="-4.1760000000000002"/>
    <n v="648.06899999999996"/>
    <n v="37.212000000000003"/>
    <n v="2.145E-2"/>
    <n v="0.37343999999999999"/>
    <n v="7.4349999999999996"/>
    <n v="2.33"/>
    <n v="0.51"/>
    <n v="7.9740000000000005E-2"/>
    <n v="0.54900000000000004"/>
    <n v="41"/>
    <n v="9"/>
    <n v="129.477"/>
    <n v="4.7599999999999995E-3"/>
    <n v="1.0399999999999999E-3"/>
    <n v="2.5600000000000002E-3"/>
    <n v="8523.2839999999997"/>
    <n v="2904.1979999999999"/>
    <n v="-5.9210000000000006E-2"/>
    <n v="-15.587"/>
    <n v="225.405"/>
    <n v="1282.82"/>
    <n v="73.66"/>
    <n v="3925.518"/>
    <n v="0.15051"/>
    <n v="7.7609999999999998E-2"/>
    <n v="8.5969999999999991E-2"/>
    <n v="0"/>
    <n v="6.0000000000000001E-3"/>
    <n v="0"/>
    <n v="0"/>
    <n v="0.105"/>
    <n v="0"/>
    <n v="0"/>
    <n v="2.1700000000000001E-3"/>
    <n v="0"/>
    <n v="1.4E-2"/>
    <n v="0"/>
    <n v="0"/>
    <n v="0.24299999999999999"/>
    <n v="0"/>
    <n v="0"/>
  </r>
  <r>
    <x v="1"/>
    <x v="2"/>
    <s v="DEU"/>
    <n v="81123264"/>
    <n v="2347761139712"/>
    <n v="2347761.1397119998"/>
    <n v="0.24984999999999999"/>
    <n v="7.1999999999999995E-2"/>
    <n v="4.431"/>
    <n v="0.35899999999999999"/>
    <n v="30"/>
    <n v="2.4300000000000002"/>
    <n v="4.5799999999999999E-3"/>
    <n v="8.9999999999999992E-5"/>
    <n v="596.34100000000001"/>
    <n v="-5.1749999999999997E-2"/>
    <n v="-57.512"/>
    <n v="12991.825999999999"/>
    <n v="1053.9390000000001"/>
    <n v="3564.2060000000001"/>
    <n v="289.14"/>
    <n v="-2.3460000000000002E-2"/>
    <n v="-22.085999999999999"/>
    <n v="11332.706"/>
    <n v="919.346"/>
    <n v="0.54481000000000002"/>
    <n v="0.26516000000000001"/>
    <n v="535.54"/>
    <n v="530.72"/>
    <n v="0.14573"/>
    <n v="5.2199999999999998E-3"/>
    <n v="20.623000000000001"/>
    <n v="48996.98"/>
    <n v="1.6930000000000001"/>
    <n v="1.7599999999999998E-3"/>
    <n v="6.0910000000000002"/>
    <n v="4335.5010000000002"/>
    <n v="351.71"/>
    <n v="42681.25"/>
    <n v="3462.442"/>
    <n v="0.66269999999999996"/>
    <n v="0.87109999999999999"/>
    <n v="9.0399999999999994E-2"/>
    <n v="64.445999999999998"/>
    <n v="777.37400000000002"/>
    <n v="507"/>
    <n v="41.1"/>
    <n v="9582.6209999999992"/>
    <n v="3.1890000000000002E-2"/>
    <n v="5.1959999999999997"/>
    <n v="2072.3670000000002"/>
    <n v="168.11699999999999"/>
    <n v="7.7439999999999995E-2"/>
    <n v="0.19558"/>
    <n v="316.49"/>
    <n v="6.7390000000000005E-2"/>
    <n v="4.024"/>
    <n v="63.741"/>
    <n v="268.48"/>
    <n v="21.78"/>
    <n v="785.72799999999995"/>
    <n v="4.104E-2"/>
    <n v="1.6040000000000002E-2"/>
    <n v="2.904E-2"/>
    <n v="14.532"/>
    <n v="512.35199999999998"/>
    <n v="2206.6419999999998"/>
    <n v="179.01"/>
    <n v="6315.7280000000001"/>
    <n v="0.33729999999999999"/>
    <n v="0.12890000000000001"/>
    <n v="4.82"/>
    <n v="9.0000000000000011E-3"/>
    <n v="1.9179999999999999E-2"/>
    <n v="8.2289999999999992"/>
    <n v="437.26100000000002"/>
    <n v="1887"/>
    <n v="153"/>
    <n v="5390.0820000000003"/>
    <n v="0.28999999999999998"/>
    <n v="0.11001"/>
    <n v="-5.1999999999999995E-4"/>
    <n v="-0.84299999999999997"/>
    <n v="1631.13"/>
    <n v="264.65899999999999"/>
    <n v="21.47"/>
    <n v="20106.803"/>
    <n v="7.3000000000000001E-3"/>
    <n v="0.27100000000000002"/>
    <n v="461.44400000000002"/>
    <n v="37.433999999999997"/>
    <n v="4.045E-2"/>
    <n v="0.41037000000000001"/>
    <n v="6.5410000000000004"/>
    <n v="2.4300000000000002"/>
    <n v="0"/>
    <n v="7.5029999999999999E-2"/>
    <n v="0.45600000000000002"/>
    <n v="30"/>
    <n v="0"/>
    <n v="80.628"/>
    <n v="4.5799999999999999E-3"/>
    <n v="0"/>
    <n v="1.65E-3"/>
    <n v="6542.143"/>
    <n v="3974.7950000000001"/>
    <n v="9.3030000000000002E-2"/>
    <n v="6.3029999999999999"/>
    <n v="75.090999999999994"/>
    <n v="319.51400000000001"/>
    <n v="25.92"/>
    <n v="925.64599999999996"/>
    <n v="4.8840000000000001E-2"/>
    <n v="1.8890000000000001E-2"/>
    <n v="0.25"/>
    <n v="3.0000000000000001E-3"/>
    <n v="1.4999999999999999E-2"/>
    <n v="0"/>
    <n v="0"/>
    <n v="0.182"/>
    <n v="0"/>
    <n v="0"/>
    <n v="0.65016999999999991"/>
    <n v="1.748"/>
    <n v="4.4349999999999996"/>
    <n v="21"/>
    <n v="1.71"/>
    <n v="54.676000000000002"/>
    <n v="3.2200000000000002E-3"/>
    <n v="1.1200000000000001E-3"/>
  </r>
  <r>
    <x v="0"/>
    <x v="3"/>
    <s v="FRA"/>
    <n v="57623180"/>
    <n v="1773843120128"/>
    <n v="1773843.1201279999"/>
    <n v="0.49895"/>
    <n v="0.86699999999999999"/>
    <n v="45.209000000000003"/>
    <n v="2.605"/>
    <n v="33"/>
    <n v="1.93"/>
    <n v="3.8E-3"/>
    <n v="8.5999999999999998E-4"/>
    <n v="79.225999999999999"/>
    <n v="5.1060000000000001E-2"/>
    <n v="9.1850000000000005"/>
    <n v="3281.1570000000002"/>
    <n v="189.071"/>
    <n v="486.61"/>
    <n v="28.04"/>
    <n v="-8.9200000000000008E-3"/>
    <n v="-0.54700000000000004"/>
    <n v="1055.846"/>
    <n v="60.841000000000001"/>
    <n v="5.5220000000000005E-2"/>
    <n v="6.2770000000000006E-2"/>
    <n v="438.98"/>
    <n v="507.79"/>
    <n v="0.23658999999999999"/>
    <n v="3.7240000000000002E-2"/>
    <n v="108.15"/>
    <n v="52276.671999999999"/>
    <n v="1.698"/>
    <n v="4.4039999999999996E-2"/>
    <n v="70.834999999999994"/>
    <n v="752.30100000000004"/>
    <n v="43.35"/>
    <n v="29141.557000000001"/>
    <n v="1679.229"/>
    <n v="8.5370000000000001E-2"/>
    <n v="0.55745"/>
    <n v="0.10515000000000001"/>
    <n v="36.167999999999999"/>
    <n v="380.14600000000002"/>
    <n v="71"/>
    <n v="4.12"/>
    <n v="6597.11"/>
    <n v="-0.13849"/>
    <n v="-5.0030000000000001"/>
    <n v="540.05999999999995"/>
    <n v="31.12"/>
    <n v="8.1100000000000009E-3"/>
    <n v="0.12619999999999998"/>
    <n v="40.229999999999997"/>
    <n v="-9.6759999999999999E-2"/>
    <n v="-20.920999999999999"/>
    <n v="195.291"/>
    <n v="1122.2909999999999"/>
    <n v="64.67"/>
    <n v="3389.1120000000001"/>
    <n v="0.12736"/>
    <n v="6.4829999999999999E-2"/>
    <n v="3.0800000000000001E-2"/>
    <n v="37.316000000000003"/>
    <n v="1333.1189999999999"/>
    <n v="8059.951"/>
    <n v="464.44"/>
    <n v="23135.118999999999"/>
    <n v="0.91462999999999994"/>
    <n v="0.44255"/>
    <n v="-68.81"/>
    <n v="-0.15675"/>
    <n v="5.3310000000000003E-2"/>
    <n v="57.06"/>
    <n v="1127.4580000000001"/>
    <n v="6895"/>
    <n v="397"/>
    <n v="19566.053"/>
    <n v="0.78"/>
    <n v="0.37427999999999995"/>
    <n v="2.35E-2"/>
    <n v="25.481999999999999"/>
    <n v="1110.0119999999999"/>
    <n v="194.19300000000001"/>
    <n v="11.19"/>
    <n v="19263.289000000001"/>
    <n v="-0.11731999999999999"/>
    <n v="-4.3659999999999997"/>
    <n v="570.02099999999996"/>
    <n v="32.845999999999997"/>
    <n v="2.2040000000000001E-2"/>
    <n v="0.36848999999999998"/>
    <n v="7.7350000000000003"/>
    <n v="2.42"/>
    <n v="0.49"/>
    <n v="4.0359999999999993E-2"/>
    <n v="0.3"/>
    <n v="42"/>
    <n v="9"/>
    <n v="134.22900000000001"/>
    <n v="4.7699999999999999E-3"/>
    <n v="9.6000000000000002E-4"/>
    <n v="2.5700000000000002E-3"/>
    <n v="8812.2520000000004"/>
    <n v="3012.348"/>
    <n v="-7.9160000000000008E-2"/>
    <n v="-19.744"/>
    <n v="205.661"/>
    <n v="1164.462"/>
    <n v="67.099999999999994"/>
    <n v="3569.067"/>
    <n v="0.13214000000000001"/>
    <n v="6.8269999999999997E-2"/>
    <n v="0.29916999999999999"/>
    <n v="2E-3"/>
    <n v="8.0000000000000002E-3"/>
    <n v="0"/>
    <n v="0"/>
    <n v="0.13600000000000001"/>
    <n v="0"/>
    <n v="0"/>
    <n v="0.57613000000000003"/>
    <n v="8.0000000000000002E-3"/>
    <n v="2.1999999999999999E-2"/>
    <n v="0"/>
    <n v="0.01"/>
    <n v="0.38100000000000001"/>
    <n v="2.0000000000000002E-5"/>
    <n v="1.0000000000000001E-5"/>
  </r>
  <r>
    <x v="1"/>
    <x v="3"/>
    <s v="DEU"/>
    <n v="81300864"/>
    <n v="2391519789056"/>
    <n v="2391519.7890559998"/>
    <n v="0.57074999999999998"/>
    <n v="0.20499999999999999"/>
    <n v="6.9450000000000003"/>
    <n v="0.56499999999999995"/>
    <n v="31"/>
    <n v="2.5"/>
    <n v="4.5599999999999998E-3"/>
    <n v="1.4000000000000001E-4"/>
    <n v="591.303"/>
    <n v="-4.3099999999999996E-3"/>
    <n v="-4.5369999999999999"/>
    <n v="12907.635"/>
    <n v="1049.402"/>
    <n v="3640.6750000000002"/>
    <n v="295.99"/>
    <n v="-6.404E-2"/>
    <n v="-58.872"/>
    <n v="10583.823"/>
    <n v="860.47400000000005"/>
    <n v="0.53990000000000005"/>
    <n v="0.25558999999999998"/>
    <n v="542.96"/>
    <n v="548.23"/>
    <n v="0.14560000000000001"/>
    <n v="3.2969999999999999E-2"/>
    <n v="131.05099999999999"/>
    <n v="50501.870999999999"/>
    <n v="1.7170000000000001"/>
    <n v="3.3430000000000001E-2"/>
    <n v="115.747"/>
    <n v="4448.415"/>
    <n v="361.66"/>
    <n v="44011.707000000002"/>
    <n v="3578.19"/>
    <n v="0.65968999999999989"/>
    <n v="0.87148999999999999"/>
    <n v="0.11903999999999999"/>
    <n v="92.536000000000001"/>
    <n v="869.91"/>
    <n v="560"/>
    <n v="45.56"/>
    <n v="10699.886"/>
    <n v="8.2949999999999996E-2"/>
    <n v="13.945"/>
    <n v="2239.3580000000002"/>
    <n v="182.06200000000001"/>
    <n v="8.3100000000000007E-2"/>
    <n v="0.21187"/>
    <n v="324.17"/>
    <n v="-0.12701999999999999"/>
    <n v="-8.0960000000000001"/>
    <n v="55.645000000000003"/>
    <n v="270.108"/>
    <n v="21.96"/>
    <n v="684.428"/>
    <n v="4.0060000000000005E-2"/>
    <n v="1.355E-2"/>
    <n v="3.1230000000000001E-2"/>
    <n v="15.303000000000001"/>
    <n v="527.65599999999995"/>
    <n v="2294.81"/>
    <n v="186.57"/>
    <n v="6490.1629999999996"/>
    <n v="0.34031"/>
    <n v="0.12851000000000001"/>
    <n v="-5.27"/>
    <n v="-9.7099999999999999E-3"/>
    <n v="4.8750000000000002E-2"/>
    <n v="21.318000000000001"/>
    <n v="458.57900000000001"/>
    <n v="1968"/>
    <n v="160"/>
    <n v="5640.5209999999997"/>
    <n v="0.28999999999999998"/>
    <n v="0.11169000000000001"/>
    <n v="1.7010000000000001E-2"/>
    <n v="27.748999999999999"/>
    <n v="1658.8779999999999"/>
    <n v="247.35300000000001"/>
    <n v="20.11"/>
    <n v="20404.187999999998"/>
    <n v="8.3099999999999997E-3"/>
    <n v="0.311"/>
    <n v="464.26299999999998"/>
    <n v="37.744999999999997"/>
    <n v="3.6680000000000004E-2"/>
    <n v="0.40403"/>
    <n v="6.8410000000000002"/>
    <n v="2.5"/>
    <n v="0"/>
    <n v="4.5880000000000004E-2"/>
    <n v="0.3"/>
    <n v="31"/>
    <n v="0"/>
    <n v="84.143000000000001"/>
    <n v="4.5599999999999998E-3"/>
    <n v="0"/>
    <n v="1.67E-3"/>
    <n v="6743.2250000000004"/>
    <n v="4105.8459999999995"/>
    <n v="-7.4829999999999994E-2"/>
    <n v="-6.0149999999999997"/>
    <n v="69.076999999999998"/>
    <n v="326.565"/>
    <n v="26.55"/>
    <n v="849.64099999999996"/>
    <n v="4.8430000000000001E-2"/>
    <n v="1.6819999999999998E-2"/>
    <n v="0.2"/>
    <n v="3.0000000000000001E-3"/>
    <n v="1.7999999999999999E-2"/>
    <n v="0.123"/>
    <n v="0.01"/>
    <n v="0.218"/>
    <n v="2.0000000000000002E-5"/>
    <n v="0"/>
    <n v="0.35466999999999999"/>
    <n v="1.573"/>
    <n v="6.0090000000000003"/>
    <n v="26"/>
    <n v="2.08"/>
    <n v="73.906000000000006"/>
    <n v="3.79E-3"/>
    <n v="1.4599999999999999E-3"/>
  </r>
  <r>
    <x v="0"/>
    <x v="4"/>
    <s v="FRA"/>
    <n v="57839364"/>
    <n v="1816394858496"/>
    <n v="1816394.8584960001"/>
    <n v="0.30776999999999999"/>
    <n v="0.80200000000000005"/>
    <n v="58.902000000000001"/>
    <n v="3.407"/>
    <n v="37"/>
    <n v="2.16"/>
    <n v="4.3299999999999996E-3"/>
    <n v="1.15E-3"/>
    <n v="70.858000000000004"/>
    <n v="-0.12086999999999999"/>
    <n v="-22.853000000000002"/>
    <n v="2873.7809999999999"/>
    <n v="166.21799999999999"/>
    <n v="383.476"/>
    <n v="22.18"/>
    <n v="-0.17473"/>
    <n v="-10.631"/>
    <n v="868.09799999999996"/>
    <n v="50.21"/>
    <n v="4.4420000000000001E-2"/>
    <n v="5.6050000000000003E-2"/>
    <n v="433.91"/>
    <n v="499.31"/>
    <n v="0.23702000000000001"/>
    <n v="-1.5489999999999999E-2"/>
    <n v="-46.668999999999997"/>
    <n v="51274.413999999997"/>
    <n v="1.633"/>
    <n v="-2.1600000000000001E-2"/>
    <n v="-36.277000000000001"/>
    <n v="674.97299999999996"/>
    <n v="39.04"/>
    <n v="28405.43"/>
    <n v="1642.952"/>
    <n v="7.8189999999999996E-2"/>
    <n v="0.55398999999999998"/>
    <n v="-4.1239999999999999E-2"/>
    <n v="-15.677"/>
    <n v="364.46899999999999"/>
    <n v="85"/>
    <n v="4.9000000000000004"/>
    <n v="6301.4049999999997"/>
    <n v="-0.11595000000000001"/>
    <n v="-3.6080000000000001"/>
    <n v="475.65600000000001"/>
    <n v="27.512"/>
    <n v="9.8099999999999993E-3"/>
    <n v="0.1229"/>
    <n v="35.380000000000003"/>
    <n v="-3.4520000000000002E-2"/>
    <n v="-6.742"/>
    <n v="188.54900000000001"/>
    <n v="1073.836"/>
    <n v="62.11"/>
    <n v="3259.8809999999999"/>
    <n v="0.12439"/>
    <n v="6.3579999999999998E-2"/>
    <n v="-6.5700000000000003E-3"/>
    <n v="-10.391999999999999"/>
    <n v="1322.7270000000001"/>
    <n v="7957.7290000000003"/>
    <n v="460.27"/>
    <n v="22868.982"/>
    <n v="0.92181000000000002"/>
    <n v="0.44601000000000002"/>
    <n v="-65.400000000000006"/>
    <n v="-0.15071999999999999"/>
    <n v="-4.6700000000000005E-3"/>
    <n v="-5.2690000000000001"/>
    <n v="1122.1890000000001"/>
    <n v="6838"/>
    <n v="395"/>
    <n v="19401.82"/>
    <n v="0.79"/>
    <n v="0.37839"/>
    <n v="2.0300000000000001E-3"/>
    <n v="2.2530000000000001"/>
    <n v="1112.2650000000001"/>
    <n v="206.78"/>
    <n v="11.96"/>
    <n v="19230.243999999999"/>
    <n v="-0.17618999999999999"/>
    <n v="-5.7869999999999999"/>
    <n v="467.83300000000003"/>
    <n v="27.059000000000001"/>
    <n v="2.3949999999999999E-2"/>
    <n v="0.37505000000000005"/>
    <n v="8.5389999999999997"/>
    <n v="2.67"/>
    <n v="0.51"/>
    <n v="0.10400000000000001"/>
    <n v="0.80400000000000005"/>
    <n v="46"/>
    <n v="9"/>
    <n v="147.636"/>
    <n v="5.3500000000000006E-3"/>
    <n v="1.0199999999999999E-3"/>
    <n v="2.8799999999999997E-3"/>
    <n v="8632.7019999999993"/>
    <n v="2965.6790000000001"/>
    <n v="-1.719E-2"/>
    <n v="-5.1230000000000002"/>
    <n v="200.53800000000001"/>
    <n v="1120.171"/>
    <n v="64.790000000000006"/>
    <n v="3467.1619999999998"/>
    <n v="0.12976000000000001"/>
    <n v="6.762E-2"/>
    <n v="0.28544000000000003"/>
    <n v="2E-3"/>
    <n v="0.01"/>
    <n v="0"/>
    <n v="0"/>
    <n v="0.17399999999999999"/>
    <n v="0"/>
    <n v="0"/>
    <n v="0.49773000000000001"/>
    <n v="1.0999999999999999E-2"/>
    <n v="3.3000000000000002E-2"/>
    <n v="0"/>
    <n v="0.01"/>
    <n v="0.56899999999999995"/>
    <n v="2.0000000000000002E-5"/>
    <n v="1.0000000000000001E-5"/>
  </r>
  <r>
    <x v="1"/>
    <x v="4"/>
    <s v="DEU"/>
    <n v="81436096"/>
    <n v="2461046145024"/>
    <n v="2461046.1450240002"/>
    <n v="0.63568000000000002"/>
    <n v="0.35899999999999999"/>
    <n v="11.340999999999999"/>
    <n v="0.92400000000000004"/>
    <n v="33"/>
    <n v="2.65"/>
    <n v="4.8500000000000001E-3"/>
    <n v="2.3000000000000001E-4"/>
    <n v="575.27"/>
    <n v="-3.1050000000000001E-2"/>
    <n v="-32.584000000000003"/>
    <n v="12486.088"/>
    <n v="1016.818"/>
    <n v="3491.5720000000001"/>
    <n v="284.33999999999997"/>
    <n v="-4.2169999999999999E-2"/>
    <n v="-36.283000000000001"/>
    <n v="10120.712"/>
    <n v="824.19100000000003"/>
    <n v="0.52041999999999999"/>
    <n v="0.25086999999999998"/>
    <n v="544.02"/>
    <n v="546.37"/>
    <n v="0.14801999999999998"/>
    <n v="-1.2829999999999999E-2"/>
    <n v="-52.658999999999999"/>
    <n v="49771.383000000002"/>
    <n v="1.647"/>
    <n v="-2.2749999999999999E-2"/>
    <n v="-81.411000000000001"/>
    <n v="4334.5640000000003"/>
    <n v="352.99"/>
    <n v="42938.93"/>
    <n v="3496.779"/>
    <n v="0.64605999999999997"/>
    <n v="0.86272000000000004"/>
    <n v="-4.4690000000000001E-2"/>
    <n v="-38.875999999999998"/>
    <n v="831.03399999999999"/>
    <n v="591"/>
    <n v="48.1"/>
    <n v="10204.732"/>
    <n v="-1.7000000000000001E-2"/>
    <n v="-3.0950000000000002"/>
    <n v="2197.6350000000002"/>
    <n v="178.96700000000001"/>
    <n v="8.8040000000000007E-2"/>
    <n v="0.20502999999999999"/>
    <n v="314.31"/>
    <n v="7.1199999999999996E-3"/>
    <n v="0.39600000000000002"/>
    <n v="56.040999999999997"/>
    <n v="213.173"/>
    <n v="17.36"/>
    <n v="688.15700000000004"/>
    <n v="3.177E-2"/>
    <n v="1.383E-2"/>
    <n v="5.5629999999999999E-2"/>
    <n v="28.751999999999999"/>
    <n v="556.40800000000002"/>
    <n v="2374.623"/>
    <n v="193.38"/>
    <n v="6832.451"/>
    <n v="0.35393999999999998"/>
    <n v="0.13727999999999999"/>
    <n v="-2.35"/>
    <n v="-4.3200000000000001E-3"/>
    <n v="5.3929999999999999E-2"/>
    <n v="24.728999999999999"/>
    <n v="483.30799999999999"/>
    <n v="2092"/>
    <n v="170"/>
    <n v="5934.8159999999998"/>
    <n v="0.31"/>
    <n v="0.11924"/>
    <n v="-6.0000000000000001E-3"/>
    <n v="-9.9510000000000005"/>
    <n v="1648.9269999999999"/>
    <n v="252.345"/>
    <n v="20.55"/>
    <n v="20248.111000000001"/>
    <n v="-5.867E-2"/>
    <n v="-2.2149999999999999"/>
    <n v="436.298"/>
    <n v="35.53"/>
    <n v="3.7610000000000005E-2"/>
    <n v="0.40682000000000001"/>
    <n v="7.3319999999999999"/>
    <n v="2.65"/>
    <n v="0"/>
    <n v="7.1859999999999993E-2"/>
    <n v="0.49199999999999999"/>
    <n v="33"/>
    <n v="0"/>
    <n v="90.04"/>
    <n v="4.8500000000000001E-3"/>
    <n v="0"/>
    <n v="1.81E-3"/>
    <n v="6709.1869999999999"/>
    <n v="4053.1869999999999"/>
    <n v="6.7299999999999999E-2"/>
    <n v="4.0229999999999997"/>
    <n v="73.099999999999994"/>
    <n v="283.04399999999998"/>
    <n v="23.05"/>
    <n v="897.63499999999999"/>
    <n v="4.2190000000000005E-2"/>
    <n v="1.804E-2"/>
    <n v="0.83333000000000002"/>
    <n v="1.4999999999999999E-2"/>
    <n v="3.3000000000000002E-2"/>
    <n v="0.123"/>
    <n v="0.01"/>
    <n v="0.39900000000000002"/>
    <n v="2.0000000000000002E-5"/>
    <n v="1.0000000000000001E-5"/>
    <n v="0.45965000000000006"/>
    <n v="2.762"/>
    <n v="8.77"/>
    <n v="37"/>
    <n v="3.03"/>
    <n v="107.697"/>
    <n v="5.5500000000000002E-3"/>
    <n v="2.16E-3"/>
  </r>
  <r>
    <x v="0"/>
    <x v="5"/>
    <s v="FRA"/>
    <n v="58080344"/>
    <n v="1882050265088"/>
    <n v="1882050.2650880001"/>
    <n v="-0.14133999999999999"/>
    <n v="-0.48199999999999998"/>
    <n v="50.366999999999997"/>
    <n v="2.9249999999999998"/>
    <n v="37"/>
    <n v="2.13"/>
    <n v="4.2100000000000002E-3"/>
    <n v="9.6000000000000002E-4"/>
    <n v="96.753"/>
    <n v="0.18436"/>
    <n v="30.643999999999998"/>
    <n v="3389.4659999999999"/>
    <n v="196.86099999999999"/>
    <n v="577.30399999999997"/>
    <n v="33.53"/>
    <n v="-0.17215"/>
    <n v="-8.6440000000000001"/>
    <n v="715.66899999999998"/>
    <n v="41.566000000000003"/>
    <n v="6.6269999999999996E-2"/>
    <n v="6.4820000000000003E-2"/>
    <n v="448.37"/>
    <n v="505.93"/>
    <n v="0.23043"/>
    <n v="2.4119999999999999E-2"/>
    <n v="71.542000000000002"/>
    <n v="52293.457000000002"/>
    <n v="1.6140000000000001"/>
    <n v="5.9810000000000002E-2"/>
    <n v="98.27"/>
    <n v="938.35500000000002"/>
    <n v="54.5"/>
    <n v="29979.543000000001"/>
    <n v="1741.222"/>
    <n v="0.10772"/>
    <n v="0.57328999999999997"/>
    <n v="6.6189999999999999E-2"/>
    <n v="24.126000000000001"/>
    <n v="388.59500000000003"/>
    <n v="86"/>
    <n v="4.97"/>
    <n v="6690.6419999999998"/>
    <n v="-0.13635999999999998"/>
    <n v="-3.7519999999999998"/>
    <n v="409.09"/>
    <n v="23.76"/>
    <n v="9.8200000000000006E-3"/>
    <n v="0.12794"/>
    <n v="48.95"/>
    <n v="-2.6210000000000001E-2"/>
    <n v="-4.9409999999999998"/>
    <n v="183.608"/>
    <n v="1046.309"/>
    <n v="60.77"/>
    <n v="3161.2809999999999"/>
    <n v="0.12012"/>
    <n v="6.0449999999999997E-2"/>
    <n v="-2.0760000000000001E-2"/>
    <n v="-26.728000000000002"/>
    <n v="1296"/>
    <n v="7772.509"/>
    <n v="451.43"/>
    <n v="22313.91"/>
    <n v="0.89227999999999996"/>
    <n v="0.42670999999999998"/>
    <n v="-57.56"/>
    <n v="-0.12837999999999999"/>
    <n v="-1.8950000000000002E-2"/>
    <n v="-21.262"/>
    <n v="1100.9269999999999"/>
    <n v="6680"/>
    <n v="388"/>
    <n v="18955.248"/>
    <n v="0.77"/>
    <n v="0.36247999999999997"/>
    <n v="3.9109999999999999E-2"/>
    <n v="43.500999999999998"/>
    <n v="1155.7660000000001"/>
    <n v="275.48"/>
    <n v="16"/>
    <n v="19899.436000000002"/>
    <n v="-0.10531"/>
    <n v="-2.85"/>
    <n v="416.83"/>
    <n v="24.21"/>
    <n v="3.1620000000000002E-2"/>
    <n v="0.38052999999999998"/>
    <n v="8.4689999999999994"/>
    <n v="2.65"/>
    <n v="0.52"/>
    <n v="-8.2199999999999999E-3"/>
    <n v="-7.0000000000000007E-2"/>
    <n v="46"/>
    <n v="9"/>
    <n v="145.81399999999999"/>
    <n v="5.2399999999999999E-3"/>
    <n v="1.0299999999999999E-3"/>
    <n v="2.7900000000000004E-3"/>
    <n v="8710.8639999999996"/>
    <n v="3037.2220000000002"/>
    <n v="-3.1E-2"/>
    <n v="-5.4660000000000002"/>
    <n v="195.072"/>
    <n v="1092.28"/>
    <n v="63.44"/>
    <n v="3358.663"/>
    <n v="0.12539"/>
    <n v="6.4229999999999995E-2"/>
    <n v="0.20010000000000003"/>
    <n v="2E-3"/>
    <n v="1.2E-2"/>
    <n v="0"/>
    <n v="0"/>
    <n v="0.20799999999999999"/>
    <n v="0"/>
    <n v="0"/>
    <n v="0.75202000000000002"/>
    <n v="2.5000000000000001E-2"/>
    <n v="5.8000000000000003E-2"/>
    <n v="0"/>
    <n v="0.02"/>
    <n v="0.99299999999999999"/>
    <n v="4.0000000000000003E-5"/>
    <n v="2.0000000000000002E-5"/>
  </r>
  <r>
    <x v="1"/>
    <x v="5"/>
    <s v="DEU"/>
    <n v="81524384"/>
    <n v="2535903723520"/>
    <n v="2535903.72352"/>
    <n v="0.11093"/>
    <n v="0.10199999999999999"/>
    <n v="12.586"/>
    <n v="1.026"/>
    <n v="38"/>
    <n v="3.06"/>
    <n v="5.5700000000000003E-3"/>
    <n v="2.5999999999999998E-4"/>
    <n v="587.00800000000004"/>
    <n v="-2.3900000000000001E-2"/>
    <n v="-24.306000000000001"/>
    <n v="12174.422"/>
    <n v="992.51199999999994"/>
    <n v="3584.94"/>
    <n v="292.26"/>
    <n v="-8.2680000000000003E-2"/>
    <n v="-68.144000000000005"/>
    <n v="9273.8829999999998"/>
    <n v="756.048"/>
    <n v="0.53210000000000002"/>
    <n v="0.24692"/>
    <n v="548.62"/>
    <n v="549.26"/>
    <n v="0.14968999999999999"/>
    <n v="-8.2799999999999992E-3"/>
    <n v="-33.555999999999997"/>
    <n v="49305.879000000001"/>
    <n v="1.585"/>
    <n v="-4.2599999999999999E-3"/>
    <n v="-14.898999999999999"/>
    <n v="4449.4660000000003"/>
    <n v="362.74"/>
    <n v="42709.667999999998"/>
    <n v="3481.8789999999999"/>
    <n v="0.66042000000000001"/>
    <n v="0.86621999999999999"/>
    <n v="9.1700000000000011E-3"/>
    <n v="7.617"/>
    <n v="838.65"/>
    <n v="622"/>
    <n v="50.74"/>
    <n v="10287.109"/>
    <n v="-2.2890000000000001E-2"/>
    <n v="-4.0970000000000004"/>
    <n v="2144.998"/>
    <n v="174.87"/>
    <n v="9.237999999999999E-2"/>
    <n v="0.20864000000000002"/>
    <n v="322.42"/>
    <n v="2.64E-3"/>
    <n v="0.14799999999999999"/>
    <n v="56.189"/>
    <n v="211.22499999999999"/>
    <n v="17.22"/>
    <n v="689.226"/>
    <n v="3.1349999999999996E-2"/>
    <n v="1.3979999999999999E-2"/>
    <n v="-3.39E-2"/>
    <n v="-18.655999999999999"/>
    <n v="537.75199999999995"/>
    <n v="2287.9050000000002"/>
    <n v="186.52"/>
    <n v="6596.2079999999996"/>
    <n v="0.33957999999999999"/>
    <n v="0.13378000000000001"/>
    <n v="-0.64"/>
    <n v="-1.17E-3"/>
    <n v="-5.1239999999999994E-2"/>
    <n v="-24.765999999999998"/>
    <n v="458.54199999999997"/>
    <n v="1983"/>
    <n v="162"/>
    <n v="5624.6040000000003"/>
    <n v="0.28999999999999998"/>
    <n v="0.11408"/>
    <n v="1.09E-3"/>
    <n v="1.79"/>
    <n v="1650.7170000000001"/>
    <n v="242.136"/>
    <n v="19.739999999999998"/>
    <n v="20248.138999999999"/>
    <n v="5.357E-2"/>
    <n v="1.903"/>
    <n v="459.17399999999998"/>
    <n v="37.433999999999997"/>
    <n v="3.594E-2"/>
    <n v="0.41066000000000003"/>
    <n v="8.6760000000000002"/>
    <n v="3.06"/>
    <n v="0"/>
    <n v="0.18328"/>
    <n v="1.3440000000000001"/>
    <n v="38"/>
    <n v="0"/>
    <n v="106.42700000000001"/>
    <n v="5.5700000000000003E-3"/>
    <n v="0"/>
    <n v="2.16E-3"/>
    <n v="6737.3710000000001"/>
    <n v="4019.6309999999999"/>
    <n v="8.3519999999999997E-2"/>
    <n v="6.11"/>
    <n v="79.209000000000003"/>
    <n v="305.185"/>
    <n v="24.88"/>
    <n v="971.60400000000004"/>
    <n v="4.53E-2"/>
    <n v="1.9710000000000002E-2"/>
    <n v="0.36363999999999996"/>
    <n v="1.2E-2"/>
    <n v="4.3999999999999997E-2"/>
    <n v="0.123"/>
    <n v="0.01"/>
    <n v="0.54400000000000004"/>
    <n v="2.0000000000000002E-5"/>
    <n v="1.0000000000000001E-5"/>
    <n v="0.51349"/>
    <n v="4.5030000000000001"/>
    <n v="13.273999999999999"/>
    <n v="56"/>
    <n v="4.59"/>
    <n v="162.822"/>
    <n v="8.3599999999999994E-3"/>
    <n v="3.3E-3"/>
  </r>
  <r>
    <x v="0"/>
    <x v="6"/>
    <s v="FRA"/>
    <n v="58352208"/>
    <n v="1949849354240"/>
    <n v="1949849.35424"/>
    <n v="4.3479999999999998E-2"/>
    <n v="0.127"/>
    <n v="52.311999999999998"/>
    <n v="3.0529999999999999"/>
    <n v="40"/>
    <n v="2.34"/>
    <n v="4.5000000000000005E-3"/>
    <n v="9.8999999999999999E-4"/>
    <n v="87.366"/>
    <n v="-0.10334"/>
    <n v="-20.344000000000001"/>
    <n v="3025.0340000000001"/>
    <n v="176.517"/>
    <n v="501.78"/>
    <n v="29.28"/>
    <n v="-0.10567"/>
    <n v="-4.3920000000000003"/>
    <n v="637.06200000000001"/>
    <n v="37.173999999999999"/>
    <n v="5.636E-2"/>
    <n v="5.7350000000000005E-2"/>
    <n v="456.4"/>
    <n v="519.54"/>
    <n v="0.23576"/>
    <n v="1.3429999999999999E-2"/>
    <n v="40.793999999999997"/>
    <n v="52748.921999999999"/>
    <n v="1.579"/>
    <n v="-4.9300000000000004E-3"/>
    <n v="-8.5850000000000009"/>
    <n v="884.11400000000003"/>
    <n v="51.59"/>
    <n v="29692.743999999999"/>
    <n v="1732.6369999999999"/>
    <n v="9.9299999999999999E-2"/>
    <n v="0.56291000000000002"/>
    <n v="1.9599999999999999E-2"/>
    <n v="7.617"/>
    <n v="396.21100000000001"/>
    <n v="132"/>
    <n v="7.7"/>
    <n v="6790"/>
    <n v="-9.1609999999999997E-2"/>
    <n v="-2.177"/>
    <n v="369.88"/>
    <n v="21.582999999999998"/>
    <n v="1.482E-2"/>
    <n v="0.12872"/>
    <n v="45.39"/>
    <n v="0.16783000000000001"/>
    <n v="30.815000000000001"/>
    <n v="214.423"/>
    <n v="1213.664"/>
    <n v="70.819999999999993"/>
    <n v="3674.636"/>
    <n v="0.13631000000000001"/>
    <n v="6.966E-2"/>
    <n v="3.7350000000000001E-2"/>
    <n v="49.378999999999998"/>
    <n v="1345.3789999999999"/>
    <n v="8019.4049999999997"/>
    <n v="467.95"/>
    <n v="23056.178"/>
    <n v="0.90069999999999995"/>
    <n v="0.43709000000000003"/>
    <n v="-63.14"/>
    <n v="-0.13833999999999999"/>
    <n v="1.6120000000000002E-2"/>
    <n v="17.745999999999999"/>
    <n v="1118.673"/>
    <n v="6756"/>
    <n v="394"/>
    <n v="19171.053"/>
    <n v="0.76"/>
    <n v="0.36343999999999999"/>
    <n v="3.5799999999999998E-3"/>
    <n v="4.1420000000000003"/>
    <n v="1159.9079999999999"/>
    <n v="250.376"/>
    <n v="14.61"/>
    <n v="19877.710999999999"/>
    <n v="-7.2889999999999996E-2"/>
    <n v="-1.7649999999999999"/>
    <n v="384.64600000000002"/>
    <n v="22.445"/>
    <n v="2.8119999999999999E-2"/>
    <n v="0.37683999999999995"/>
    <n v="9.1069999999999993"/>
    <n v="2.85"/>
    <n v="0.51"/>
    <n v="7.5389999999999999E-2"/>
    <n v="0.63800000000000001"/>
    <n v="49"/>
    <n v="9"/>
    <n v="156.07599999999999"/>
    <n v="5.4900000000000001E-3"/>
    <n v="9.7999999999999997E-4"/>
    <n v="2.96E-3"/>
    <n v="8903.5190000000002"/>
    <n v="3078.0160000000001"/>
    <n v="0.15903999999999999"/>
    <n v="31.632999999999999"/>
    <n v="226.70599999999999"/>
    <n v="1263.191"/>
    <n v="73.709999999999994"/>
    <n v="3885.1260000000002"/>
    <n v="0.14188000000000001"/>
    <n v="7.3650000000000007E-2"/>
    <n v="0.11227000000000001"/>
    <n v="1E-3"/>
    <n v="1.2999999999999999E-2"/>
    <n v="0"/>
    <n v="0"/>
    <n v="0.23"/>
    <n v="0"/>
    <n v="0"/>
    <n v="0.89485999999999999"/>
    <n v="5.1999999999999998E-2"/>
    <n v="0.109"/>
    <n v="1"/>
    <n v="0.04"/>
    <n v="1.8720000000000001"/>
    <n v="8.0000000000000007E-5"/>
    <n v="4.0000000000000003E-5"/>
  </r>
  <r>
    <x v="1"/>
    <x v="6"/>
    <s v="DEU"/>
    <n v="81556968"/>
    <n v="2613176696832"/>
    <n v="2613176.6968319998"/>
    <n v="0.30201"/>
    <n v="0.31"/>
    <n v="16.38"/>
    <n v="1.3360000000000001"/>
    <n v="43"/>
    <n v="3.51"/>
    <n v="6.3899999999999998E-3"/>
    <n v="3.4000000000000002E-4"/>
    <n v="566.38800000000003"/>
    <n v="-3.721E-2"/>
    <n v="-36.930999999999997"/>
    <n v="11716.737999999999"/>
    <n v="955.58199999999999"/>
    <n v="3448.7550000000001"/>
    <n v="281.27"/>
    <n v="-2.6589999999999999E-2"/>
    <n v="-20.102"/>
    <n v="9023.6980000000003"/>
    <n v="735.94500000000005"/>
    <n v="0.51207999999999998"/>
    <n v="0.24109000000000003"/>
    <n v="550.30999999999995"/>
    <n v="549.27"/>
    <n v="0.15288000000000002"/>
    <n v="-1.3950000000000001E-2"/>
    <n v="-56.070999999999998"/>
    <n v="48598.667999999998"/>
    <n v="1.5169999999999999"/>
    <n v="-2.5559999999999999E-2"/>
    <n v="-89"/>
    <n v="4298.3450000000003"/>
    <n v="350.56"/>
    <n v="41601.347999999998"/>
    <n v="3392.88"/>
    <n v="0.63822999999999996"/>
    <n v="0.85602"/>
    <n v="-2.9299999999999999E-3"/>
    <n v="-2.4590000000000001"/>
    <n v="836.19100000000003"/>
    <n v="635"/>
    <n v="51.8"/>
    <n v="10252.843000000001"/>
    <n v="6.8129999999999996E-2"/>
    <n v="11.914"/>
    <n v="2290.2179999999998"/>
    <n v="186.78299999999999"/>
    <n v="9.4309999999999991E-2"/>
    <n v="0.21097000000000002"/>
    <n v="311.10000000000002"/>
    <n v="8.8620000000000004E-2"/>
    <n v="4.9800000000000004"/>
    <n v="61.167999999999999"/>
    <n v="240.93600000000001"/>
    <n v="19.649999999999999"/>
    <n v="750.00699999999995"/>
    <n v="3.5769999999999996E-2"/>
    <n v="1.5429999999999999E-2"/>
    <n v="6.1760000000000002E-2"/>
    <n v="32.929000000000002"/>
    <n v="570.68100000000004"/>
    <n v="2436.4569999999999"/>
    <n v="198.71"/>
    <n v="6997.3249999999998"/>
    <n v="0.36176999999999998"/>
    <n v="0.14398"/>
    <n v="1.04"/>
    <n v="1.89E-3"/>
    <n v="5.2000000000000005E-2"/>
    <n v="23.846"/>
    <n v="482.38900000000001"/>
    <n v="2084"/>
    <n v="170"/>
    <n v="5914.7479999999996"/>
    <n v="0.31"/>
    <n v="0.12171"/>
    <n v="-3.005E-2"/>
    <n v="-49.61"/>
    <n v="1601.107"/>
    <n v="214.45099999999999"/>
    <n v="17.489999999999998"/>
    <n v="19631.763999999999"/>
    <n v="-6.7799999999999999E-2"/>
    <n v="-2.5379999999999998"/>
    <n v="427.87200000000001"/>
    <n v="34.896000000000001"/>
    <n v="3.184E-2"/>
    <n v="0.40395999999999999"/>
    <n v="9.3849999999999998"/>
    <n v="3.51"/>
    <n v="0"/>
    <n v="8.1679999999999989E-2"/>
    <n v="0.70899999999999996"/>
    <n v="43"/>
    <n v="0"/>
    <n v="115.074"/>
    <n v="6.3899999999999998E-3"/>
    <n v="0"/>
    <n v="2.3699999999999997E-3"/>
    <n v="6734.8019999999997"/>
    <n v="3963.56"/>
    <n v="0.11959"/>
    <n v="9.0820000000000007"/>
    <n v="88.292000000000002"/>
    <n v="352.024"/>
    <n v="28.71"/>
    <n v="1082.577"/>
    <n v="5.2270000000000004E-2"/>
    <n v="2.2280000000000001E-2"/>
    <n v="0.26667000000000002"/>
    <n v="1.2E-2"/>
    <n v="5.6000000000000001E-2"/>
    <n v="0.245"/>
    <n v="0.02"/>
    <n v="0.68899999999999995"/>
    <n v="4.0000000000000003E-5"/>
    <n v="1.0000000000000001E-5"/>
    <n v="0.23144999999999999"/>
    <n v="3.0720000000000001"/>
    <n v="16.346"/>
    <n v="68"/>
    <n v="5.53"/>
    <n v="200.42699999999999"/>
    <n v="1.0069999999999999E-2"/>
    <n v="4.1199999999999995E-3"/>
  </r>
  <r>
    <x v="0"/>
    <x v="7"/>
    <s v="FRA"/>
    <n v="58665456"/>
    <n v="2031676030976"/>
    <n v="2031676.030976"/>
    <n v="0.19585"/>
    <n v="0.59799999999999998"/>
    <n v="62.222999999999999"/>
    <n v="3.65"/>
    <n v="42"/>
    <n v="2.48"/>
    <n v="4.6600000000000001E-3"/>
    <n v="1.17E-3"/>
    <n v="79.766000000000005"/>
    <n v="-3.0350000000000002E-2"/>
    <n v="-5.3570000000000002"/>
    <n v="2917.5729999999999"/>
    <n v="171.161"/>
    <n v="460.23700000000002"/>
    <n v="27"/>
    <n v="-0.31412000000000001"/>
    <n v="-11.677"/>
    <n v="434.61500000000001"/>
    <n v="25.497"/>
    <n v="5.0700000000000002E-2"/>
    <n v="5.4900000000000004E-2"/>
    <n v="463.08"/>
    <n v="532.55999999999995"/>
    <n v="0.24021999999999999"/>
    <n v="1.2960000000000001E-2"/>
    <n v="39.893000000000001"/>
    <n v="53147.277000000002"/>
    <n v="1.5349999999999999"/>
    <n v="-1.3500000000000001E-3"/>
    <n v="-2.331"/>
    <n v="844.96100000000001"/>
    <n v="49.57"/>
    <n v="29494.467000000001"/>
    <n v="1730.306"/>
    <n v="9.3079999999999996E-2"/>
    <n v="0.55496000000000001"/>
    <n v="4.9850000000000005E-2"/>
    <n v="19.751999999999999"/>
    <n v="415.964"/>
    <n v="196"/>
    <n v="11.51"/>
    <n v="7090.433"/>
    <n v="-9.8650000000000002E-2"/>
    <n v="-2.129"/>
    <n v="331.61200000000002"/>
    <n v="19.454000000000001"/>
    <n v="2.1610000000000001E-2"/>
    <n v="0.13341"/>
    <n v="42.48"/>
    <n v="-8.4830000000000003E-2"/>
    <n v="-18.187999999999999"/>
    <n v="196.23500000000001"/>
    <n v="1104.2270000000001"/>
    <n v="64.78"/>
    <n v="3344.9780000000001"/>
    <n v="0.12164"/>
    <n v="6.2939999999999996E-2"/>
    <n v="3.2809999999999999E-2"/>
    <n v="42.223999999999997"/>
    <n v="1387.6030000000001"/>
    <n v="8232.9539999999997"/>
    <n v="482.99"/>
    <n v="23652.807000000001"/>
    <n v="0.90691999999999995"/>
    <n v="0.44503999999999999"/>
    <n v="-69.48"/>
    <n v="-0.15004000000000001"/>
    <n v="5.3060000000000003E-2"/>
    <n v="59.354999999999997"/>
    <n v="1178.028"/>
    <n v="7077"/>
    <n v="415"/>
    <n v="20080.442999999999"/>
    <n v="0.78"/>
    <n v="0.37783"/>
    <n v="-1.4419999999999999E-2"/>
    <n v="-16.725999999999999"/>
    <n v="1143.182"/>
    <n v="188.52699999999999"/>
    <n v="11.06"/>
    <n v="19486.460999999999"/>
    <n v="-3.9070000000000001E-2"/>
    <n v="-0.877"/>
    <n v="367.64400000000001"/>
    <n v="21.568000000000001"/>
    <n v="2.077E-2"/>
    <n v="0.36664999999999998"/>
    <n v="9.532"/>
    <n v="2.99"/>
    <n v="0.51"/>
    <n v="4.6620000000000002E-2"/>
    <n v="0.42499999999999999"/>
    <n v="51"/>
    <n v="9"/>
    <n v="162.47900000000001"/>
    <n v="5.6100000000000004E-3"/>
    <n v="9.6000000000000002E-4"/>
    <n v="3.0599999999999998E-3"/>
    <n v="9077.9140000000007"/>
    <n v="3117.9090000000001"/>
    <n v="-6.8929999999999991E-2"/>
    <n v="-17.131"/>
    <n v="209.57400000000001"/>
    <n v="1156.2170000000001"/>
    <n v="67.83"/>
    <n v="3572.364"/>
    <n v="0.12737000000000001"/>
    <n v="6.7220000000000002E-2"/>
    <n v="0.14859999999999998"/>
    <n v="2E-3"/>
    <n v="1.4999999999999999E-2"/>
    <n v="0.17"/>
    <n v="0.01"/>
    <n v="0.26300000000000001"/>
    <n v="2.0000000000000002E-5"/>
    <n v="0"/>
    <n v="0.29925000000000002"/>
    <n v="3.3000000000000002E-2"/>
    <n v="0.14199999999999999"/>
    <n v="1"/>
    <n v="0.05"/>
    <n v="2.419"/>
    <n v="8.9999999999999992E-5"/>
    <n v="5.0000000000000002E-5"/>
  </r>
  <r>
    <x v="1"/>
    <x v="7"/>
    <s v="DEU"/>
    <n v="81551680"/>
    <n v="2718560681984"/>
    <n v="2718560.6819839999"/>
    <n v="0.92319999999999991"/>
    <n v="1.2330000000000001"/>
    <n v="31.504999999999999"/>
    <n v="2.569"/>
    <n v="53"/>
    <n v="4.33"/>
    <n v="7.6100000000000004E-3"/>
    <n v="6.4000000000000005E-4"/>
    <n v="573.12599999999998"/>
    <n v="3.8210000000000001E-2"/>
    <n v="36.514000000000003"/>
    <n v="12165.24"/>
    <n v="992.096"/>
    <n v="3637.9380000000001"/>
    <n v="296.68"/>
    <n v="-4.0570000000000002E-2"/>
    <n v="-29.859000000000002"/>
    <n v="8658.1489999999994"/>
    <n v="706.08699999999999"/>
    <n v="0.52145000000000008"/>
    <n v="0.24876000000000001"/>
    <n v="572.01"/>
    <n v="568.95000000000005"/>
    <n v="0.15807000000000002"/>
    <n v="6.2100000000000002E-3"/>
    <n v="24.619"/>
    <n v="48903.699000000001"/>
    <n v="1.4670000000000001"/>
    <n v="-3.3E-4"/>
    <n v="-1.1040000000000001"/>
    <n v="4462.5690000000004"/>
    <n v="363.93"/>
    <n v="41590.516000000003"/>
    <n v="3391.7759999999998"/>
    <n v="0.63965000000000005"/>
    <n v="0.8504600000000001"/>
    <n v="-8.3099999999999997E-3"/>
    <n v="-6.9450000000000003"/>
    <n v="829.24599999999998"/>
    <n v="603"/>
    <n v="49.2"/>
    <n v="10168.348"/>
    <n v="-5.423E-2"/>
    <n v="-10.129"/>
    <n v="2166.1660000000002"/>
    <n v="176.654"/>
    <n v="8.6480000000000001E-2"/>
    <n v="0.20793"/>
    <n v="326.08"/>
    <n v="0.20370999999999997"/>
    <n v="12.461"/>
    <n v="73.629000000000005"/>
    <n v="266.45699999999999"/>
    <n v="21.73"/>
    <n v="902.851"/>
    <n v="3.8190000000000002E-2"/>
    <n v="1.8460000000000001E-2"/>
    <n v="4.7190000000000003E-2"/>
    <n v="25.722000000000001"/>
    <n v="596.40300000000002"/>
    <n v="2513.989"/>
    <n v="205.02"/>
    <n v="7313.1880000000001"/>
    <n v="0.36034999999999995"/>
    <n v="0.14954000000000001"/>
    <n v="3.06"/>
    <n v="5.3500000000000006E-3"/>
    <n v="-2.3400000000000001E-3"/>
    <n v="-1.129"/>
    <n v="481.26"/>
    <n v="2080"/>
    <n v="170"/>
    <n v="5901.2830000000004"/>
    <n v="0.3"/>
    <n v="0.12067"/>
    <n v="-1.916E-2"/>
    <n v="-30.672000000000001"/>
    <n v="1570.4349999999999"/>
    <n v="221.33199999999999"/>
    <n v="18.05"/>
    <n v="19256.928"/>
    <n v="0.16350000000000001"/>
    <n v="5.7060000000000004"/>
    <n v="497.863"/>
    <n v="40.601999999999997"/>
    <n v="3.1730000000000001E-2"/>
    <n v="0.39377000000000001"/>
    <n v="10.853"/>
    <n v="4.33"/>
    <n v="0"/>
    <n v="0.15646000000000002"/>
    <n v="1.468"/>
    <n v="53"/>
    <n v="0"/>
    <n v="133.08699999999999"/>
    <n v="7.6100000000000004E-3"/>
    <n v="0"/>
    <n v="2.7200000000000002E-3"/>
    <n v="6976.558"/>
    <n v="3988.1790000000001"/>
    <n v="0.32319999999999999"/>
    <n v="26.850999999999999"/>
    <n v="115.143"/>
    <n v="434.20299999999997"/>
    <n v="35.409999999999997"/>
    <n v="1411.904"/>
    <n v="6.2240000000000004E-2"/>
    <n v="2.887E-2"/>
    <n v="-1"/>
    <n v="-5.6000000000000001E-2"/>
    <n v="0"/>
    <n v="0"/>
    <n v="0"/>
    <n v="0"/>
    <n v="0"/>
    <n v="0"/>
    <n v="0.71852000000000005"/>
    <n v="11.744999999999999"/>
    <n v="28.091000000000001"/>
    <n v="115"/>
    <n v="9.35"/>
    <n v="344.46100000000001"/>
    <n v="1.643E-2"/>
    <n v="7.0399999999999994E-3"/>
  </r>
  <r>
    <x v="0"/>
    <x v="8"/>
    <s v="FRA"/>
    <n v="59014776"/>
    <n v="2077786767360"/>
    <n v="2077786.7673599999"/>
    <n v="1.3729999999999999E-2"/>
    <n v="0.05"/>
    <n v="62.704999999999998"/>
    <n v="3.7"/>
    <n v="48"/>
    <n v="2.85"/>
    <n v="5.2500000000000003E-3"/>
    <n v="1.1799999999999998E-3"/>
    <n v="68.632999999999996"/>
    <n v="-0.15848000000000001"/>
    <n v="-27.125"/>
    <n v="2440.672"/>
    <n v="144.036"/>
    <n v="347.03199999999998"/>
    <n v="20.48"/>
    <n v="-0.34996000000000005"/>
    <n v="-8.923"/>
    <n v="280.84500000000003"/>
    <n v="16.574000000000002"/>
    <n v="3.7740000000000003E-2"/>
    <n v="4.5830000000000003E-2"/>
    <n v="474.21"/>
    <n v="542.6"/>
    <n v="0.24398"/>
    <n v="8.0600000000000012E-3"/>
    <n v="25.137"/>
    <n v="53258.633000000002"/>
    <n v="1.5129999999999999"/>
    <n v="-4.1799999999999997E-3"/>
    <n v="-7.2409999999999997"/>
    <n v="769.80700000000002"/>
    <n v="45.43"/>
    <n v="29197.190999999999"/>
    <n v="1723.066"/>
    <n v="8.3729999999999999E-2"/>
    <n v="0.54822000000000004"/>
    <n v="4.981E-2"/>
    <n v="20.72"/>
    <n v="436.68400000000003"/>
    <n v="257"/>
    <n v="15.15"/>
    <n v="7399.57"/>
    <n v="2.8229999999999998E-2"/>
    <n v="0.54900000000000004"/>
    <n v="338.95400000000001"/>
    <n v="20.003"/>
    <n v="2.7919999999999997E-2"/>
    <n v="0.13894000000000001"/>
    <n v="37.24"/>
    <n v="0.11912"/>
    <n v="21.949000000000002"/>
    <n v="218.184"/>
    <n v="1230.539"/>
    <n v="72.62"/>
    <n v="3697.1019999999999"/>
    <n v="0.13384000000000001"/>
    <n v="6.9419999999999996E-2"/>
    <n v="2.9289999999999997E-2"/>
    <n v="32.378"/>
    <n v="1419.981"/>
    <n v="8424.5010000000002"/>
    <n v="497.17"/>
    <n v="24061.445"/>
    <n v="0.91626999999999992"/>
    <n v="0.45177999999999996"/>
    <n v="-68.39"/>
    <n v="-0.14422000000000001"/>
    <n v="1.4250000000000001E-2"/>
    <n v="9.0229999999999997"/>
    <n v="1187.0509999999999"/>
    <n v="7135"/>
    <n v="421"/>
    <n v="20114.469000000001"/>
    <n v="0.78"/>
    <n v="0.37768000000000002"/>
    <n v="-7.2999999999999996E-4"/>
    <n v="-0.83599999999999997"/>
    <n v="1142.346"/>
    <n v="166.06"/>
    <n v="9.8000000000000007"/>
    <n v="19356.947"/>
    <n v="-3.4340000000000002E-2"/>
    <n v="-0.74099999999999999"/>
    <n v="352.91800000000001"/>
    <n v="20.827000000000002"/>
    <n v="1.806E-2"/>
    <n v="0.36345"/>
    <n v="10.643000000000001"/>
    <n v="3.33"/>
    <n v="0.48"/>
    <n v="0.11654"/>
    <n v="1.111"/>
    <n v="56"/>
    <n v="8"/>
    <n v="180.34100000000001"/>
    <n v="6.1399999999999996E-3"/>
    <n v="8.7999999999999992E-4"/>
    <n v="3.3900000000000002E-3"/>
    <n v="9194.3070000000007"/>
    <n v="3143.0459999999998"/>
    <n v="0.11481"/>
    <n v="23.356000000000002"/>
    <n v="232.93"/>
    <n v="1289.338"/>
    <n v="76.09"/>
    <n v="3946.9760000000001"/>
    <n v="0.14022999999999999"/>
    <n v="7.4109999999999995E-2"/>
    <n v="0.17943999999999999"/>
    <n v="3.0000000000000001E-3"/>
    <n v="1.7999999999999999E-2"/>
    <n v="0.16900000000000001"/>
    <n v="0.01"/>
    <n v="0.307"/>
    <n v="2.0000000000000002E-5"/>
    <n v="1.0000000000000001E-5"/>
    <n v="1.7291700000000001"/>
    <n v="0.24299999999999999"/>
    <n v="0.38500000000000001"/>
    <n v="2"/>
    <n v="0.13"/>
    <n v="6.5209999999999999"/>
    <n v="2.4000000000000001E-4"/>
    <n v="1.2E-4"/>
  </r>
  <r>
    <x v="1"/>
    <x v="8"/>
    <s v="DEU"/>
    <n v="81514568"/>
    <n v="2793372909568"/>
    <n v="2793372.9095680001"/>
    <n v="0.40003"/>
    <n v="1.028"/>
    <n v="44.128"/>
    <n v="3.597"/>
    <n v="56"/>
    <n v="4.59"/>
    <n v="7.9299999999999995E-3"/>
    <n v="8.8999999999999995E-4"/>
    <n v="565.447"/>
    <n v="2.8599999999999997E-3"/>
    <n v="2.84"/>
    <n v="12205.621999999999"/>
    <n v="994.93600000000004"/>
    <n v="3603.5279999999998"/>
    <n v="293.74"/>
    <n v="-4.045E-2"/>
    <n v="-28.559000000000001"/>
    <n v="8311.741"/>
    <n v="677.52800000000002"/>
    <n v="0.50737999999999994"/>
    <n v="0.24489"/>
    <n v="582.6"/>
    <n v="578.94000000000005"/>
    <n v="0.15761"/>
    <n v="1.8710000000000001E-2"/>
    <n v="74.62"/>
    <n v="49841.387000000002"/>
    <n v="1.454"/>
    <n v="2.0230000000000001E-2"/>
    <n v="68.605000000000004"/>
    <n v="4536.1220000000003"/>
    <n v="369.76"/>
    <n v="42451.078000000001"/>
    <n v="3460.3809999999999"/>
    <n v="0.63868000000000003"/>
    <n v="0.85171999999999992"/>
    <n v="5.4550000000000001E-2"/>
    <n v="45.235999999999997"/>
    <n v="874.48199999999997"/>
    <n v="681"/>
    <n v="55.5"/>
    <n v="10727.922"/>
    <n v="9.5099999999999994E-3"/>
    <n v="1.679"/>
    <n v="2187.7539999999999"/>
    <n v="178.334"/>
    <n v="9.5860000000000001E-2"/>
    <n v="0.21524000000000001"/>
    <n v="327.36"/>
    <n v="-6.8269999999999997E-2"/>
    <n v="-5.4720000000000004"/>
    <n v="68.156999999999996"/>
    <n v="278.846"/>
    <n v="22.73"/>
    <n v="836.12900000000002"/>
    <n v="3.9260000000000003E-2"/>
    <n v="1.678E-2"/>
    <n v="1.8700000000000001E-2"/>
    <n v="6.0149999999999997"/>
    <n v="602.41800000000001"/>
    <n v="2566.1669999999999"/>
    <n v="209.18"/>
    <n v="7390.3090000000002"/>
    <n v="0.36131999999999997"/>
    <n v="0.14828"/>
    <n v="3.66"/>
    <n v="6.28E-3"/>
    <n v="1.0019999999999999E-2"/>
    <n v="1.665"/>
    <n v="482.92399999999998"/>
    <n v="2101"/>
    <n v="171"/>
    <n v="5924.39"/>
    <n v="0.3"/>
    <n v="0.11885999999999999"/>
    <n v="1.307E-2"/>
    <n v="20.527999999999999"/>
    <n v="1590.963"/>
    <n v="251.73400000000001"/>
    <n v="20.52"/>
    <n v="19517.532999999999"/>
    <n v="1.3600000000000001E-2"/>
    <n v="0.55200000000000005"/>
    <n v="504.86399999999998"/>
    <n v="41.154000000000003"/>
    <n v="3.5439999999999999E-2"/>
    <n v="0.39158999999999999"/>
    <n v="16.599"/>
    <n v="4.59"/>
    <n v="0"/>
    <n v="0.52941000000000005"/>
    <n v="5.7460000000000004"/>
    <n v="56"/>
    <n v="0"/>
    <n v="203.63800000000001"/>
    <n v="7.9299999999999995E-3"/>
    <n v="0"/>
    <n v="4.0899999999999999E-3"/>
    <n v="7102.2889999999998"/>
    <n v="4062.799"/>
    <n v="5.5190000000000003E-2"/>
    <n v="4.351"/>
    <n v="119.494"/>
    <n v="464.702"/>
    <n v="37.880000000000003"/>
    <n v="1465.9190000000001"/>
    <n v="6.5430000000000002E-2"/>
    <n v="2.9409999999999999E-2"/>
    <m/>
    <n v="0.29399999999999998"/>
    <n v="0.29399999999999998"/>
    <n v="1.2270000000000001"/>
    <n v="0.1"/>
    <n v="3.6040000000000001"/>
    <n v="1.7000000000000001E-4"/>
    <n v="7.0000000000000007E-5"/>
    <n v="0.10525999999999999"/>
    <n v="2.7549999999999999"/>
    <n v="30.847000000000001"/>
    <n v="128"/>
    <n v="10.46"/>
    <n v="378.42"/>
    <n v="1.8069999999999999E-2"/>
    <n v="7.5900000000000004E-3"/>
  </r>
  <r>
    <x v="0"/>
    <x v="9"/>
    <s v="FRA"/>
    <n v="59372784"/>
    <n v="2107316502528"/>
    <n v="2107316.5025280002"/>
    <n v="4.8490000000000005E-2"/>
    <n v="0.17899999999999999"/>
    <n v="65.349000000000004"/>
    <n v="3.88"/>
    <n v="51"/>
    <n v="3.04"/>
    <n v="5.5100000000000001E-3"/>
    <n v="1.24E-3"/>
    <n v="75.212000000000003"/>
    <n v="7.3259999999999992E-2"/>
    <n v="10.552"/>
    <n v="2603.6790000000001"/>
    <n v="154.58799999999999"/>
    <n v="398.49900000000002"/>
    <n v="23.66"/>
    <n v="-0.27661000000000002"/>
    <n v="-4.585"/>
    <n v="201.93600000000001"/>
    <n v="11.99"/>
    <n v="4.292E-2"/>
    <n v="4.9560000000000007E-2"/>
    <n v="474.21"/>
    <n v="551.24"/>
    <n v="0.24981"/>
    <n v="-7.6800000000000002E-3"/>
    <n v="-24.126999999999999"/>
    <n v="52531.129000000001"/>
    <n v="1.48"/>
    <n v="-1.145E-2"/>
    <n v="-19.722000000000001"/>
    <n v="872.28499999999997"/>
    <n v="51.79"/>
    <n v="28688.965"/>
    <n v="1703.3440000000001"/>
    <n v="9.3949999999999992E-2"/>
    <n v="0.54613"/>
    <n v="-1.7000000000000001E-3"/>
    <n v="-0.74099999999999999"/>
    <n v="435.94299999999998"/>
    <n v="309"/>
    <n v="18.37"/>
    <n v="7342.4669999999996"/>
    <n v="-2.4709999999999999E-2"/>
    <n v="-0.49399999999999999"/>
    <n v="328.58600000000001"/>
    <n v="19.509"/>
    <n v="3.3319999999999995E-2"/>
    <n v="0.13977000000000001"/>
    <n v="41.46"/>
    <n v="-0.18676999999999999"/>
    <n v="-41.895000000000003"/>
    <n v="176.28899999999999"/>
    <n v="991.7"/>
    <n v="58.88"/>
    <n v="2969.1860000000001"/>
    <n v="0.10680999999999999"/>
    <n v="5.6520000000000001E-2"/>
    <n v="4.64E-3"/>
    <n v="-4.4050000000000002"/>
    <n v="1415.576"/>
    <n v="8412.1039999999994"/>
    <n v="499.45"/>
    <n v="23842.164000000001"/>
    <n v="0.90605000000000002"/>
    <n v="0.45387"/>
    <n v="-77.03"/>
    <n v="-0.16244"/>
    <n v="3.7249999999999998E-2"/>
    <n v="36.271000000000001"/>
    <n v="1223.3219999999999"/>
    <n v="7356"/>
    <n v="437"/>
    <n v="20604.085999999999"/>
    <n v="0.79"/>
    <n v="0.39222999999999997"/>
    <n v="-2.5849999999999998E-2"/>
    <n v="-29.533000000000001"/>
    <n v="1112.8130000000001"/>
    <n v="164.38499999999999"/>
    <n v="9.76"/>
    <n v="18742.817999999999"/>
    <n v="-3.0270000000000002E-2"/>
    <n v="-0.63100000000000001"/>
    <n v="340.17"/>
    <n v="20.196999999999999"/>
    <n v="1.771E-2"/>
    <n v="0.35679"/>
    <n v="11.291"/>
    <n v="3.53"/>
    <n v="0.49"/>
    <n v="6.0890000000000007E-2"/>
    <n v="0.64800000000000002"/>
    <n v="59"/>
    <n v="8"/>
    <n v="190.16800000000001"/>
    <n v="6.4000000000000003E-3"/>
    <n v="8.8999999999999995E-4"/>
    <n v="3.62E-3"/>
    <n v="9284.3889999999992"/>
    <n v="3118.9189999999999"/>
    <n v="-0.16396999999999998"/>
    <n v="-40.676000000000002"/>
    <n v="192.25399999999999"/>
    <n v="1055.8710000000001"/>
    <n v="62.69"/>
    <n v="3238.08"/>
    <n v="0.11373"/>
    <n v="6.164E-2"/>
    <n v="0.15306"/>
    <n v="3.0000000000000001E-3"/>
    <n v="2.1000000000000001E-2"/>
    <n v="0.16800000000000001"/>
    <n v="0.01"/>
    <n v="0.34899999999999998"/>
    <n v="2.0000000000000002E-5"/>
    <n v="1.0000000000000001E-5"/>
    <n v="1.0229000000000001"/>
    <n v="0.38900000000000001"/>
    <n v="0.77300000000000002"/>
    <n v="5"/>
    <n v="0.27"/>
    <n v="13.028"/>
    <n v="4.8999999999999998E-4"/>
    <n v="2.5000000000000001E-4"/>
  </r>
  <r>
    <x v="1"/>
    <x v="9"/>
    <s v="DEU"/>
    <n v="81443424"/>
    <n v="2822441533440"/>
    <n v="2822441.5334399999"/>
    <n v="0.57137000000000004"/>
    <n v="2.0550000000000002"/>
    <n v="69.400999999999996"/>
    <n v="5.6520000000000001"/>
    <n v="65"/>
    <n v="5.31"/>
    <n v="9.1000000000000004E-3"/>
    <n v="1.4099999999999998E-3"/>
    <n v="569.56600000000003"/>
    <n v="2.2200000000000002E-3"/>
    <n v="2.2130000000000001"/>
    <n v="12243.454"/>
    <n v="997.149"/>
    <n v="3678.627"/>
    <n v="299.60000000000002"/>
    <n v="2.8499999999999997E-3"/>
    <n v="1.9339999999999999"/>
    <n v="8342.7459999999992"/>
    <n v="679.46199999999999"/>
    <n v="0.51322000000000001"/>
    <n v="0.24856"/>
    <n v="593.76"/>
    <n v="583.76"/>
    <n v="0.16111999999999999"/>
    <n v="-1.257E-2"/>
    <n v="-51.076000000000001"/>
    <n v="49257.788999999997"/>
    <n v="1.421"/>
    <n v="-1.512E-2"/>
    <n v="-52.325000000000003"/>
    <n v="4597.4250000000002"/>
    <n v="374.43"/>
    <n v="41845.690999999999"/>
    <n v="3408.056"/>
    <n v="0.64141000000000004"/>
    <n v="0.84951999999999994"/>
    <n v="-1.5499999999999999E-3"/>
    <n v="-1.3540000000000001"/>
    <n v="873.12800000000004"/>
    <n v="691"/>
    <n v="56.3"/>
    <n v="10720.665999999999"/>
    <n v="-2.6099999999999999E-3"/>
    <n v="-0.46600000000000003"/>
    <n v="2183.9430000000002"/>
    <n v="177.86799999999999"/>
    <n v="9.6439999999999998E-2"/>
    <n v="0.21764"/>
    <n v="332.49"/>
    <n v="2.155E-2"/>
    <n v="1.02"/>
    <n v="69.176000000000002"/>
    <n v="283.87799999999999"/>
    <n v="23.12"/>
    <n v="849.38"/>
    <n v="3.9609999999999999E-2"/>
    <n v="1.7239999999999998E-2"/>
    <n v="1.2589999999999999E-2"/>
    <n v="1.2490000000000001"/>
    <n v="603.66600000000005"/>
    <n v="2570.25"/>
    <n v="209.33"/>
    <n v="7412.0950000000003"/>
    <n v="0.35859000000000002"/>
    <n v="0.15048"/>
    <n v="10"/>
    <n v="1.6840000000000001E-2"/>
    <n v="-3.773E-2"/>
    <n v="-21.218"/>
    <n v="461.70600000000002"/>
    <n v="2024"/>
    <n v="165"/>
    <n v="5669.0420000000004"/>
    <n v="0.28000000000000003"/>
    <n v="0.11509"/>
    <n v="-3.3430000000000001E-2"/>
    <n v="-53.183"/>
    <n v="1537.78"/>
    <n v="227.52"/>
    <n v="18.53"/>
    <n v="18881.572"/>
    <n v="6.1660000000000006E-2"/>
    <n v="2.5379999999999998"/>
    <n v="536.46400000000006"/>
    <n v="43.691000000000003"/>
    <n v="3.1739999999999997E-2"/>
    <n v="0.38331999999999999"/>
    <n v="20.43"/>
    <n v="5.31"/>
    <n v="0"/>
    <n v="0.23077000000000003"/>
    <n v="3.831"/>
    <n v="65"/>
    <n v="0"/>
    <n v="250.85"/>
    <n v="9.1000000000000004E-3"/>
    <n v="0"/>
    <n v="5.0899999999999999E-3"/>
    <n v="7167.6750000000002"/>
    <n v="4011.723"/>
    <n v="0.21492999999999998"/>
    <n v="22.466000000000001"/>
    <n v="141.96"/>
    <n v="546.26900000000001"/>
    <n v="44.49"/>
    <n v="1743.0519999999999"/>
    <n v="7.621E-2"/>
    <n v="3.5390000000000005E-2"/>
    <n v="1"/>
    <n v="0.28999999999999998"/>
    <n v="0.58399999999999996"/>
    <n v="2.456"/>
    <n v="0.2"/>
    <n v="7.1680000000000001"/>
    <n v="3.4000000000000002E-4"/>
    <n v="1.4999999999999999E-4"/>
    <n v="0.50475999999999999"/>
    <n v="15.271000000000001"/>
    <n v="46.118000000000002"/>
    <n v="195"/>
    <n v="15.86"/>
    <n v="566.25300000000004"/>
    <n v="2.717E-2"/>
    <n v="1.15E-2"/>
  </r>
  <r>
    <x v="0"/>
    <x v="10"/>
    <s v="FRA"/>
    <n v="59728260"/>
    <n v="2130940657664"/>
    <n v="2130940.6576640001"/>
    <n v="-8.1129999999999994E-2"/>
    <n v="-0.315"/>
    <n v="59.689"/>
    <n v="3.5649999999999999"/>
    <n v="54"/>
    <n v="3.23"/>
    <n v="5.7799999999999995E-3"/>
    <n v="1.1299999999999999E-3"/>
    <n v="80.858000000000004"/>
    <n v="5.9679999999999997E-2"/>
    <n v="9.2260000000000009"/>
    <n v="2742.6550000000002"/>
    <n v="163.81399999999999"/>
    <n v="439.65800000000002"/>
    <n v="26.26"/>
    <n v="9.8829999999999987E-2"/>
    <n v="1.1850000000000001"/>
    <n v="220.572"/>
    <n v="13.173999999999999"/>
    <n v="4.6969999999999998E-2"/>
    <n v="5.1950000000000003E-2"/>
    <n v="492.72"/>
    <n v="559.13"/>
    <n v="0.24914999999999998"/>
    <n v="1.094E-2"/>
    <n v="34.122"/>
    <n v="52789.781000000003"/>
    <n v="1.48"/>
    <n v="2.0369999999999999E-2"/>
    <n v="34.703000000000003"/>
    <n v="947.45799999999997"/>
    <n v="56.59"/>
    <n v="29099.238000000001"/>
    <n v="1738.047"/>
    <n v="0.10121000000000001"/>
    <n v="0.55123"/>
    <n v="4.8920000000000005E-2"/>
    <n v="21.326000000000001"/>
    <n v="457.26799999999997"/>
    <n v="324"/>
    <n v="19.37"/>
    <n v="7655.8109999999997"/>
    <n v="-0.13657"/>
    <n v="-2.6640000000000001"/>
    <n v="282.02300000000002"/>
    <n v="16.844999999999999"/>
    <n v="3.4639999999999997E-2"/>
    <n v="0.14502000000000001"/>
    <n v="45.21"/>
    <n v="-2.4070000000000001E-2"/>
    <n v="-5.3470000000000004"/>
    <n v="170.94200000000001"/>
    <n v="960.18200000000002"/>
    <n v="57.35"/>
    <n v="2861.9960000000001"/>
    <n v="0.10256999999999999"/>
    <n v="5.4210000000000001E-2"/>
    <n v="5.6399999999999992E-3"/>
    <n v="-0.58099999999999996"/>
    <n v="1414.9949999999999"/>
    <n v="8413.7720000000008"/>
    <n v="502.54"/>
    <n v="23690.544999999998"/>
    <n v="0.89879000000000009"/>
    <n v="0.44877"/>
    <n v="-66.41"/>
    <n v="-0.13478000000000001"/>
    <n v="9.8700000000000003E-3"/>
    <n v="4.1529999999999996"/>
    <n v="1227.4749999999999"/>
    <n v="7385"/>
    <n v="441"/>
    <n v="20550.986000000001"/>
    <n v="0.79"/>
    <n v="0.38929999999999998"/>
    <n v="3.7299999999999998E-3"/>
    <n v="4.1509999999999998"/>
    <n v="1116.9639999999999"/>
    <n v="183.49799999999999"/>
    <n v="10.96"/>
    <n v="18700.77"/>
    <n v="-0.12772"/>
    <n v="-2.58"/>
    <n v="294.95800000000003"/>
    <n v="17.617000000000001"/>
    <n v="1.9599999999999999E-2"/>
    <n v="0.35424999999999995"/>
    <n v="11.865"/>
    <n v="3.72"/>
    <n v="0.49"/>
    <n v="5.0890000000000005E-2"/>
    <n v="0.57499999999999996"/>
    <n v="62"/>
    <n v="8"/>
    <n v="198.65700000000001"/>
    <n v="6.6500000000000005E-3"/>
    <n v="8.7999999999999992E-4"/>
    <n v="3.7599999999999999E-3"/>
    <n v="9361.23"/>
    <n v="3153.0419999999999"/>
    <n v="-2.1520000000000001E-2"/>
    <n v="-4.7329999999999997"/>
    <n v="187.52"/>
    <n v="1029.1610000000001"/>
    <n v="61.47"/>
    <n v="3139.558"/>
    <n v="0.10994"/>
    <n v="5.9470000000000002E-2"/>
    <n v="9.3450000000000005E-2"/>
    <n v="2E-3"/>
    <n v="2.3E-2"/>
    <n v="0.16700000000000001"/>
    <n v="0.01"/>
    <n v="0.377"/>
    <n v="2.0000000000000002E-5"/>
    <n v="1.0000000000000001E-5"/>
    <n v="0.46415000000000001"/>
    <n v="0.35199999999999998"/>
    <n v="1.125"/>
    <n v="7"/>
    <n v="0.39"/>
    <n v="18.838999999999999"/>
    <n v="7.000000000000001E-4"/>
    <n v="3.5999999999999997E-4"/>
  </r>
  <r>
    <x v="1"/>
    <x v="10"/>
    <s v="DEU"/>
    <n v="81346808"/>
    <n v="2831676080128"/>
    <n v="2831676.0801280001"/>
    <n v="0.43284999999999996"/>
    <n v="2.4470000000000001"/>
    <n v="99.56"/>
    <n v="8.0990000000000002"/>
    <n v="110"/>
    <n v="8.9499999999999993"/>
    <n v="1.4870000000000001E-2"/>
    <n v="2.0200000000000001E-3"/>
    <n v="569.95500000000004"/>
    <n v="1.652E-2"/>
    <n v="16.471"/>
    <n v="12460.475"/>
    <n v="1013.62"/>
    <n v="3744.8310000000001"/>
    <n v="304.63"/>
    <n v="-1.069E-2"/>
    <n v="-7.2610000000000001"/>
    <n v="8263.39"/>
    <n v="672.2"/>
    <n v="0.50600000000000001"/>
    <n v="0.25274000000000002"/>
    <n v="598.76"/>
    <n v="602.03"/>
    <n v="0.16608000000000001"/>
    <n v="-3.1E-4"/>
    <n v="-1.252"/>
    <n v="49300.902000000002"/>
    <n v="1.4159999999999999"/>
    <n v="-8.7999999999999992E-4"/>
    <n v="-3"/>
    <n v="4797.9750000000004"/>
    <n v="390.3"/>
    <n v="41858.516000000003"/>
    <n v="3405.0569999999998"/>
    <n v="0.64831000000000005"/>
    <n v="0.84904000000000002"/>
    <n v="1.213E-2"/>
    <n v="10.592000000000001"/>
    <n v="883.72"/>
    <n v="769"/>
    <n v="62.59"/>
    <n v="10863.606"/>
    <n v="4.0979999999999996E-2"/>
    <n v="7.2889999999999997"/>
    <n v="2276.1390000000001"/>
    <n v="185.15700000000001"/>
    <n v="0.10396000000000001"/>
    <n v="0.22034999999999999"/>
    <n v="343.13"/>
    <n v="-0.22695000000000001"/>
    <n v="-16.042999999999999"/>
    <n v="53.134"/>
    <n v="225.209"/>
    <n v="18.32"/>
    <n v="653.17600000000004"/>
    <n v="3.0430000000000002E-2"/>
    <n v="1.325E-2"/>
    <n v="1.4930000000000001E-2"/>
    <n v="1.748"/>
    <n v="605.41399999999999"/>
    <n v="2602.806"/>
    <n v="211.73"/>
    <n v="7442.384"/>
    <n v="0.35168999999999995"/>
    <n v="0.15096000000000001"/>
    <n v="-3.27"/>
    <n v="-5.4600000000000004E-3"/>
    <n v="1.32E-3"/>
    <n v="-2.3530000000000002"/>
    <n v="459.35300000000001"/>
    <n v="2029"/>
    <n v="165"/>
    <n v="5646.8509999999997"/>
    <n v="0.27"/>
    <n v="0.11454"/>
    <n v="-1.9550000000000001E-2"/>
    <n v="-30.062999999999999"/>
    <n v="1507.7170000000001"/>
    <n v="283.72300000000001"/>
    <n v="23.08"/>
    <n v="18534.434000000001"/>
    <n v="4.99E-2"/>
    <n v="2.1800000000000002"/>
    <n v="563.90099999999995"/>
    <n v="45.872"/>
    <n v="3.8339999999999999E-2"/>
    <n v="0.37595000000000001"/>
    <n v="28.565999999999999"/>
    <n v="8.9499999999999993"/>
    <n v="0"/>
    <n v="0.39823000000000003"/>
    <n v="8.1359999999999992"/>
    <n v="110"/>
    <n v="0"/>
    <n v="351.16199999999998"/>
    <n v="1.4870000000000001E-2"/>
    <n v="0"/>
    <n v="7.1199999999999996E-3"/>
    <n v="7400.7820000000002"/>
    <n v="4010.471"/>
    <n v="5.8289999999999995E-2"/>
    <n v="4.101"/>
    <n v="146.06100000000001"/>
    <n v="573.71600000000001"/>
    <n v="46.67"/>
    <n v="1795.5340000000001"/>
    <n v="7.7519999999999992E-2"/>
    <n v="3.6420000000000001E-2"/>
    <n v="0.56499999999999995"/>
    <n v="0.32400000000000001"/>
    <n v="0.90800000000000003"/>
    <n v="3.8109999999999999"/>
    <n v="0.31"/>
    <n v="11.159000000000001"/>
    <n v="5.0999999999999993E-4"/>
    <n v="2.3000000000000001E-4"/>
    <n v="0.20803999999999997"/>
    <n v="9.2370000000000001"/>
    <n v="55.354999999999997"/>
    <n v="235"/>
    <n v="19.09"/>
    <n v="680.47699999999998"/>
    <n v="3.1709999999999995E-2"/>
    <n v="1.38E-2"/>
  </r>
  <r>
    <x v="0"/>
    <x v="11"/>
    <s v="FRA"/>
    <n v="60108436"/>
    <n v="2196883505152"/>
    <n v="2196883.5051520001"/>
    <n v="9.0609999999999996E-2"/>
    <n v="0.32300000000000001"/>
    <n v="64.686000000000007"/>
    <n v="3.8879999999999999"/>
    <n v="55"/>
    <n v="3.31"/>
    <n v="5.8399999999999997E-3"/>
    <n v="1.2199999999999999E-3"/>
    <n v="77.185000000000002"/>
    <n v="-3.7319999999999999E-2"/>
    <n v="-6.1130000000000004"/>
    <n v="2623.6120000000001"/>
    <n v="157.70099999999999"/>
    <n v="405.43400000000003"/>
    <n v="24.37"/>
    <n v="-0.90783000000000003"/>
    <n v="-11.96"/>
    <n v="20.202000000000002"/>
    <n v="1.214"/>
    <n v="4.3029999999999999E-2"/>
    <n v="4.9589999999999995E-2"/>
    <n v="504.39"/>
    <n v="566.29999999999995"/>
    <n v="0.24992999999999999"/>
    <n v="8.5900000000000004E-3"/>
    <n v="27.088000000000001"/>
    <n v="52906.542999999998"/>
    <n v="1.448"/>
    <n v="7.6400000000000001E-3"/>
    <n v="13.281000000000001"/>
    <n v="925.66"/>
    <n v="55.64"/>
    <n v="29136.133000000002"/>
    <n v="1751.327"/>
    <n v="9.824999999999999E-2"/>
    <n v="0.55071000000000003"/>
    <n v="2.112E-2"/>
    <n v="9.657"/>
    <n v="466.92500000000001"/>
    <n v="350"/>
    <n v="21.05"/>
    <n v="7768.0479999999998"/>
    <n v="-0.1356"/>
    <n v="-2.2839999999999998"/>
    <n v="242.239"/>
    <n v="14.561"/>
    <n v="3.7170000000000002E-2"/>
    <n v="0.14682999999999999"/>
    <n v="43.71"/>
    <n v="1.038E-2"/>
    <n v="0.67500000000000004"/>
    <n v="171.61699999999999"/>
    <n v="965.58799999999997"/>
    <n v="58.04"/>
    <n v="2855.12"/>
    <n v="0.10249000000000001"/>
    <n v="5.3970000000000004E-2"/>
    <n v="1.6500000000000001E-2"/>
    <n v="13.807"/>
    <n v="1428.8019999999999"/>
    <n v="8495.6460000000006"/>
    <n v="510.66"/>
    <n v="23770.416000000001"/>
    <n v="0.90174999999999994"/>
    <n v="0.44929000000000002"/>
    <n v="-61.91"/>
    <n v="-0.12273999999999999"/>
    <n v="1.626E-2"/>
    <n v="12.010999999999999"/>
    <n v="1239.4860000000001"/>
    <n v="7457"/>
    <n v="448"/>
    <n v="20620.828000000001"/>
    <n v="0.79"/>
    <n v="0.38976"/>
    <n v="8.7200000000000003E-3"/>
    <n v="9.7360000000000007"/>
    <n v="1126.701"/>
    <n v="170.02600000000001"/>
    <n v="10.220000000000001"/>
    <n v="18744.473000000002"/>
    <n v="-3.1960000000000002E-2"/>
    <n v="-0.56299999999999994"/>
    <n v="283.72500000000002"/>
    <n v="17.053999999999998"/>
    <n v="1.805E-2"/>
    <n v="0.35428999999999999"/>
    <n v="12.073"/>
    <n v="3.78"/>
    <n v="0.47"/>
    <n v="1.7490000000000002E-2"/>
    <n v="0.20699999999999999"/>
    <n v="63"/>
    <n v="8"/>
    <n v="200.852"/>
    <n v="6.6700000000000006E-3"/>
    <n v="8.3000000000000001E-4"/>
    <n v="3.8E-3"/>
    <n v="9421.3070000000007"/>
    <n v="3180.13"/>
    <n v="1.813E-2"/>
    <n v="1.796"/>
    <n v="189.31700000000001"/>
    <n v="1038.4570000000001"/>
    <n v="62.42"/>
    <n v="3149.5880000000002"/>
    <n v="0.11022"/>
    <n v="5.953E-2"/>
    <n v="8.763E-2"/>
    <n v="2E-3"/>
    <n v="2.4E-2"/>
    <n v="0.16600000000000001"/>
    <n v="0.01"/>
    <n v="0.40500000000000003"/>
    <n v="2.0000000000000002E-5"/>
    <n v="1.0000000000000001E-5"/>
    <n v="0.53351000000000004"/>
    <n v="0.58899999999999997"/>
    <n v="1.7150000000000001"/>
    <n v="10"/>
    <n v="0.59"/>
    <n v="28.524999999999999"/>
    <n v="1.0399999999999999E-3"/>
    <n v="5.4000000000000001E-4"/>
  </r>
  <r>
    <x v="1"/>
    <x v="11"/>
    <s v="DEU"/>
    <n v="81266672"/>
    <n v="2894624980992"/>
    <n v="2894624.9809920001"/>
    <n v="0.33295000000000002"/>
    <n v="2.6970000000000001"/>
    <n v="132.839"/>
    <n v="10.795"/>
    <n v="131"/>
    <n v="10.64"/>
    <n v="1.745E-2"/>
    <n v="2.6900000000000001E-3"/>
    <n v="554.65899999999999"/>
    <n v="-2.5169999999999998E-2"/>
    <n v="-25.51"/>
    <n v="12158.858"/>
    <n v="988.11"/>
    <n v="3676.415"/>
    <n v="298.77"/>
    <n v="1.0629999999999999E-2"/>
    <n v="7.1440000000000001"/>
    <n v="8359.4500000000007"/>
    <n v="679.34500000000003"/>
    <n v="0.49011000000000005"/>
    <n v="0.24642"/>
    <n v="606.98"/>
    <n v="609.6"/>
    <n v="0.16921"/>
    <n v="-1.4000000000000001E-4"/>
    <n v="-0.57799999999999996"/>
    <n v="49342.406000000003"/>
    <n v="1.385"/>
    <n v="-1.123E-2"/>
    <n v="-38.246000000000002"/>
    <n v="4732.0749999999998"/>
    <n v="384.56"/>
    <n v="41429.167999999998"/>
    <n v="3366.8110000000001"/>
    <n v="0.63084000000000007"/>
    <n v="0.83962999999999999"/>
    <n v="5.0800000000000003E-3"/>
    <n v="4.4909999999999997"/>
    <n v="888.21100000000001"/>
    <n v="771"/>
    <n v="62.67"/>
    <n v="10929.579"/>
    <n v="-7.4649999999999994E-2"/>
    <n v="-13.821"/>
    <n v="2108.308"/>
    <n v="171.33500000000001"/>
    <n v="0.10281000000000001"/>
    <n v="0.22149999999999997"/>
    <n v="338.12"/>
    <n v="0.13233"/>
    <n v="6.6479999999999997"/>
    <n v="59.781999999999996"/>
    <n v="255.33199999999999"/>
    <n v="20.75"/>
    <n v="735.62699999999995"/>
    <n v="3.4040000000000001E-2"/>
    <n v="1.4910000000000001E-2"/>
    <n v="7.2730000000000003E-2"/>
    <n v="37.667999999999999"/>
    <n v="643.08199999999999"/>
    <n v="2769.1550000000002"/>
    <n v="225.04"/>
    <n v="7913.2370000000001"/>
    <n v="0.36915999999999999"/>
    <n v="0.16036999999999998"/>
    <n v="-2.62"/>
    <n v="-4.3200000000000001E-3"/>
    <n v="1.2150000000000001E-2"/>
    <n v="2.6179999999999999"/>
    <n v="461.97199999999998"/>
    <n v="2056"/>
    <n v="167"/>
    <n v="5684.6390000000001"/>
    <n v="0.27"/>
    <n v="0.11521000000000001"/>
    <n v="-1.1430000000000001E-2"/>
    <n v="-17.227"/>
    <n v="1490.49"/>
    <n v="284.495"/>
    <n v="23.12"/>
    <n v="18340.73"/>
    <n v="-5.8250000000000003E-2"/>
    <n v="-2.6720000000000002"/>
    <n v="531.57799999999997"/>
    <n v="43.2"/>
    <n v="3.7929999999999998E-2"/>
    <n v="0.37170000000000003"/>
    <n v="33.951000000000001"/>
    <n v="10.64"/>
    <n v="0"/>
    <n v="0.1885"/>
    <n v="5.3849999999999998"/>
    <n v="131"/>
    <n v="0"/>
    <n v="417.76799999999997"/>
    <n v="1.745E-2"/>
    <n v="0"/>
    <n v="8.4700000000000001E-3"/>
    <n v="7501.2290000000003"/>
    <n v="4009.893"/>
    <n v="0.25533"/>
    <n v="35.049999999999997"/>
    <n v="181.11099999999999"/>
    <n v="713.33100000000002"/>
    <n v="57.97"/>
    <n v="2228.598"/>
    <n v="9.5100000000000004E-2"/>
    <n v="4.5170000000000002E-2"/>
    <n v="0.77954999999999997"/>
    <n v="0.69699999999999995"/>
    <n v="1.605"/>
    <n v="6.891"/>
    <n v="0.56000000000000005"/>
    <n v="19.751000000000001"/>
    <n v="9.2000000000000003E-4"/>
    <n v="4.0000000000000002E-4"/>
    <n v="0.36318"/>
    <n v="19.623000000000001"/>
    <n v="74.977999999999994"/>
    <n v="320"/>
    <n v="26.02"/>
    <n v="922.61300000000006"/>
    <n v="4.2679999999999996E-2"/>
    <n v="1.8700000000000001E-2"/>
  </r>
  <r>
    <x v="0"/>
    <x v="12"/>
    <s v="FRA"/>
    <n v="60510080"/>
    <n v="2238790500352"/>
    <n v="2238790.5003519999"/>
    <n v="0.69318999999999997"/>
    <n v="2.6949999999999998"/>
    <n v="108.79900000000001"/>
    <n v="6.5830000000000002"/>
    <n v="56"/>
    <n v="3.39"/>
    <n v="5.96E-3"/>
    <n v="2.0899999999999998E-3"/>
    <n v="85.533000000000001"/>
    <n v="3.184E-2"/>
    <n v="5.0209999999999999"/>
    <n v="2689.1689999999999"/>
    <n v="162.72200000000001"/>
    <n v="454.63499999999999"/>
    <n v="27.51"/>
    <n v="-1"/>
    <n v="-1.214"/>
    <n v="0"/>
    <n v="0"/>
    <n v="4.8339999999999994E-2"/>
    <n v="5.1589999999999997E-2"/>
    <n v="508.81"/>
    <n v="569.14"/>
    <n v="0.25213000000000002"/>
    <n v="-8.1899999999999994E-3"/>
    <n v="-26.050999999999998"/>
    <n v="52124.855000000003"/>
    <n v="1.409"/>
    <n v="-4.0300000000000006E-3"/>
    <n v="-7.0609999999999999"/>
    <n v="1035.0340000000001"/>
    <n v="62.63"/>
    <n v="28826.055"/>
    <n v="1744.2670000000001"/>
    <n v="0.11004"/>
    <n v="0.55301999999999996"/>
    <n v="2.1850000000000001E-2"/>
    <n v="10.201000000000001"/>
    <n v="477.12599999999998"/>
    <n v="381"/>
    <n v="23.07"/>
    <n v="7885.0619999999999"/>
    <n v="-0.19248000000000001"/>
    <n v="-2.8029999999999999"/>
    <n v="194.31399999999999"/>
    <n v="11.757999999999999"/>
    <n v="4.0529999999999997E-2"/>
    <n v="0.15127000000000002"/>
    <n v="48.68"/>
    <n v="-0.13558999999999999"/>
    <n v="-24.207999999999998"/>
    <n v="147.40899999999999"/>
    <n v="828.62199999999996"/>
    <n v="50.14"/>
    <n v="2436.0990000000002"/>
    <n v="8.8100000000000012E-2"/>
    <n v="4.6740000000000004E-2"/>
    <n v="-3.16E-3"/>
    <n v="-18.989999999999998"/>
    <n v="1409.8119999999999"/>
    <n v="8370.6720000000005"/>
    <n v="506.51"/>
    <n v="23298.798999999999"/>
    <n v="0.88995999999999997"/>
    <n v="0.44697999999999999"/>
    <n v="-60.33"/>
    <n v="-0.11856999999999999"/>
    <n v="7.3400000000000002E-3"/>
    <n v="1.19"/>
    <n v="1240.675"/>
    <n v="7462"/>
    <n v="452"/>
    <n v="20503.613000000001"/>
    <n v="0.79"/>
    <n v="0.39335999999999999"/>
    <n v="-1.9779999999999999E-2"/>
    <n v="-22.282"/>
    <n v="1104.4190000000001"/>
    <n v="199.14"/>
    <n v="12.05"/>
    <n v="18251.824000000001"/>
    <n v="-0.13125000000000001"/>
    <n v="-2.238"/>
    <n v="244.851"/>
    <n v="14.816000000000001"/>
    <n v="2.1170000000000001E-2"/>
    <n v="0.35015999999999997"/>
    <n v="12.36"/>
    <n v="3.87"/>
    <n v="0.48"/>
    <n v="2.3799999999999998E-2"/>
    <n v="0.28699999999999998"/>
    <n v="64"/>
    <n v="8"/>
    <n v="204.267"/>
    <n v="6.8000000000000005E-3"/>
    <n v="8.4000000000000003E-4"/>
    <n v="3.9199999999999999E-3"/>
    <n v="9405.7049999999999"/>
    <n v="3154.0790000000002"/>
    <n v="-7.2550000000000003E-2"/>
    <n v="-20.18"/>
    <n v="169.137"/>
    <n v="908.60900000000004"/>
    <n v="54.98"/>
    <n v="2795.1840000000002"/>
    <n v="9.6600000000000005E-2"/>
    <n v="5.3620000000000001E-2"/>
    <n v="0.24298999999999998"/>
    <n v="6.0000000000000001E-3"/>
    <n v="0.03"/>
    <n v="0.16500000000000001"/>
    <n v="0.01"/>
    <n v="0.497"/>
    <n v="2.0000000000000002E-5"/>
    <n v="1.0000000000000001E-5"/>
    <n v="0.61680999999999997"/>
    <n v="1.04"/>
    <n v="2.7549999999999999"/>
    <n v="16"/>
    <n v="0.96"/>
    <n v="45.523000000000003"/>
    <n v="1.6900000000000001E-3"/>
    <n v="8.699999999999999E-4"/>
  </r>
  <r>
    <x v="1"/>
    <x v="12"/>
    <s v="DEU"/>
    <n v="81212168"/>
    <n v="2945460994048"/>
    <n v="2945460.9940479998"/>
    <n v="0.84706999999999999"/>
    <n v="9.1440000000000001"/>
    <n v="245.52799999999999"/>
    <n v="19.940000000000001"/>
    <n v="181"/>
    <n v="14.71"/>
    <n v="2.3980000000000001E-2"/>
    <n v="5.0299999999999997E-3"/>
    <n v="546.27099999999996"/>
    <n v="-4.3240000000000001E-2"/>
    <n v="-42.722999999999999"/>
    <n v="11640.955"/>
    <n v="945.38699999999994"/>
    <n v="3547.99"/>
    <n v="288.14"/>
    <n v="-3.1519999999999999E-2"/>
    <n v="-21.414000000000001"/>
    <n v="8101.3810000000003"/>
    <n v="657.93100000000004"/>
    <n v="0.46978999999999999"/>
    <n v="0.23858000000000001"/>
    <n v="608.77"/>
    <n v="613.34"/>
    <n v="0.17254000000000003"/>
    <n v="-1.179E-2"/>
    <n v="-47.258000000000003"/>
    <n v="48793.612999999998"/>
    <n v="1.345"/>
    <n v="-1.7390000000000003E-2"/>
    <n v="-58.555"/>
    <n v="4763.5720000000001"/>
    <n v="386.86"/>
    <n v="40735.957000000002"/>
    <n v="3308.2550000000001"/>
    <n v="0.63073999999999997"/>
    <n v="0.83486000000000005"/>
    <n v="1.644E-2"/>
    <n v="14.6"/>
    <n v="902.81"/>
    <n v="889"/>
    <n v="72.19"/>
    <n v="11116.689"/>
    <n v="-3.4479999999999997E-2"/>
    <n v="-5.9080000000000004"/>
    <n v="2036.97"/>
    <n v="165.42699999999999"/>
    <n v="0.1177"/>
    <n v="0.22783"/>
    <n v="335.05"/>
    <n v="-5.3399999999999996E-2"/>
    <n v="-3.55"/>
    <n v="56.231999999999999"/>
    <n v="241.83600000000001"/>
    <n v="19.64"/>
    <n v="692.40499999999997"/>
    <n v="3.202E-2"/>
    <n v="1.4190000000000001E-2"/>
    <n v="4.4900000000000002E-2"/>
    <n v="11.297000000000001"/>
    <n v="654.38"/>
    <n v="2788.7449999999999"/>
    <n v="226.48"/>
    <n v="8057.6580000000004"/>
    <n v="0.36926000000000003"/>
    <n v="0.16513999999999998"/>
    <n v="-4.57"/>
    <n v="-7.5100000000000002E-3"/>
    <n v="-2.41E-2"/>
    <n v="-13.986000000000001"/>
    <n v="447.98599999999999"/>
    <n v="2008"/>
    <n v="163"/>
    <n v="5516.2370000000001"/>
    <n v="0.27"/>
    <n v="0.11305"/>
    <n v="-2.0419999999999997E-2"/>
    <n v="-30.431999999999999"/>
    <n v="1460.058"/>
    <n v="326.67500000000001"/>
    <n v="26.53"/>
    <n v="17978.311000000002"/>
    <n v="-1.7059999999999999E-2"/>
    <n v="-0.73699999999999999"/>
    <n v="522.86099999999999"/>
    <n v="42.463000000000001"/>
    <n v="4.3250000000000004E-2"/>
    <n v="0.36845999999999995"/>
    <n v="46.948999999999998"/>
    <n v="14.71"/>
    <n v="0"/>
    <n v="0.38286000000000003"/>
    <n v="12.997999999999999"/>
    <n v="181"/>
    <n v="0"/>
    <n v="578.10199999999998"/>
    <n v="2.3980000000000001E-2"/>
    <n v="0"/>
    <n v="1.1850000000000001E-2"/>
    <n v="7552.317"/>
    <n v="3962.6350000000002"/>
    <n v="0.21257000000000001"/>
    <n v="25.283999999999999"/>
    <n v="206.39400000000001"/>
    <n v="781.04100000000005"/>
    <n v="63.43"/>
    <n v="2541.4209999999998"/>
    <n v="0.10342000000000001"/>
    <n v="5.2089999999999997E-2"/>
    <n v="1.34829"/>
    <n v="2.14"/>
    <n v="3.7450000000000001"/>
    <n v="16.131"/>
    <n v="1.31"/>
    <n v="46.118000000000002"/>
    <n v="2.14E-3"/>
    <n v="9.5E-4"/>
    <n v="6.7449999999999996E-2"/>
    <n v="4.5510000000000002"/>
    <n v="79.528000000000006"/>
    <n v="342"/>
    <n v="27.77"/>
    <n v="979.26800000000003"/>
    <n v="4.5279999999999994E-2"/>
    <n v="2.0070000000000001E-2"/>
  </r>
  <r>
    <x v="0"/>
    <x v="13"/>
    <s v="FRA"/>
    <n v="60919152"/>
    <n v="2297018187776"/>
    <n v="2297018.1877759998"/>
    <n v="0.21103000000000002"/>
    <n v="1.389"/>
    <n v="130.874"/>
    <n v="7.9729999999999999"/>
    <n v="55"/>
    <n v="3.38"/>
    <n v="5.96E-3"/>
    <n v="2.5500000000000002E-3"/>
    <n v="76.572999999999993"/>
    <n v="-7.5869999999999993E-2"/>
    <n v="-12.346"/>
    <n v="2468.4450000000002"/>
    <n v="150.376"/>
    <n v="375.74400000000003"/>
    <n v="22.89"/>
    <m/>
    <n v="0"/>
    <n v="0"/>
    <n v="0"/>
    <n v="4.0350000000000004E-2"/>
    <n v="4.8059999999999999E-2"/>
    <n v="503.96"/>
    <n v="567.29999999999995"/>
    <n v="0.25414999999999999"/>
    <n v="-7.9699999999999997E-3"/>
    <n v="-25.148"/>
    <n v="51362.02"/>
    <n v="1.3620000000000001"/>
    <n v="-1.7909999999999999E-2"/>
    <n v="-31.236999999999998"/>
    <n v="922.53399999999999"/>
    <n v="56.2"/>
    <n v="28119.732"/>
    <n v="1713.03"/>
    <n v="9.9070000000000005E-2"/>
    <n v="0.54747999999999997"/>
    <n v="-3.4209999999999997E-2"/>
    <n v="-16.32"/>
    <n v="460.80500000000001"/>
    <n v="357"/>
    <n v="21.76"/>
    <n v="7564.2139999999999"/>
    <n v="0.10316"/>
    <n v="1.2130000000000001"/>
    <n v="212.92"/>
    <n v="12.971"/>
    <n v="3.8359999999999998E-2"/>
    <n v="0.14727000000000001"/>
    <n v="43.44"/>
    <n v="9.3689999999999996E-2"/>
    <n v="12.795999999999999"/>
    <n v="160.20500000000001"/>
    <n v="900.86599999999999"/>
    <n v="54.88"/>
    <n v="2629.7939999999999"/>
    <n v="9.6739999999999993E-2"/>
    <n v="5.1200000000000002E-2"/>
    <n v="1.179E-2"/>
    <n v="6.0880000000000001"/>
    <n v="1415.9"/>
    <n v="8389.8080000000009"/>
    <n v="511.1"/>
    <n v="23242.287"/>
    <n v="0.90093000000000001"/>
    <n v="0.45252000000000003"/>
    <n v="-63.34"/>
    <n v="-0.12567999999999999"/>
    <n v="-2.96E-3"/>
    <n v="-11.456"/>
    <n v="1229.2190000000001"/>
    <n v="7390"/>
    <n v="450"/>
    <n v="20177.875"/>
    <n v="0.79"/>
    <n v="0.39285999999999999"/>
    <n v="-2.33E-3"/>
    <n v="-2.57"/>
    <n v="1101.8489999999999"/>
    <n v="189.596"/>
    <n v="11.55"/>
    <n v="18087.076000000001"/>
    <n v="-5.6520000000000001E-2"/>
    <n v="-0.83699999999999997"/>
    <n v="229.46100000000001"/>
    <n v="13.978999999999999"/>
    <n v="2.036E-2"/>
    <n v="0.35215000000000002"/>
    <n v="12.260999999999999"/>
    <n v="3.84"/>
    <n v="0.46"/>
    <n v="-8.0099999999999998E-3"/>
    <n v="-9.9000000000000005E-2"/>
    <n v="63"/>
    <n v="8"/>
    <n v="201.27099999999999"/>
    <n v="6.7700000000000008E-3"/>
    <n v="8.1000000000000006E-4"/>
    <n v="3.9199999999999999E-3"/>
    <n v="9312.3430000000008"/>
    <n v="3128.931"/>
    <n v="0.11768000000000001"/>
    <n v="17.545000000000002"/>
    <n v="186.68100000000001"/>
    <n v="999.85"/>
    <n v="60.91"/>
    <n v="3064.4119999999998"/>
    <n v="0.10737000000000001"/>
    <n v="5.9660000000000005E-2"/>
    <n v="0.13383"/>
    <n v="4.0000000000000001E-3"/>
    <n v="3.4000000000000002E-2"/>
    <n v="0.16400000000000001"/>
    <n v="0.01"/>
    <n v="0.55600000000000005"/>
    <n v="2.0000000000000002E-5"/>
    <n v="1.0000000000000001E-5"/>
    <n v="1.2681899999999999"/>
    <n v="3.4540000000000002"/>
    <n v="6.2089999999999996"/>
    <n v="36"/>
    <n v="2.1800000000000002"/>
    <n v="101.917"/>
    <n v="3.8400000000000001E-3"/>
    <n v="1.98E-3"/>
  </r>
  <r>
    <x v="1"/>
    <x v="13"/>
    <s v="DEU"/>
    <n v="81177816"/>
    <n v="3086359199744"/>
    <n v="3086359.1997440001"/>
    <n v="0.59472999999999998"/>
    <n v="11.859"/>
    <n v="391.71699999999998"/>
    <n v="31.798999999999999"/>
    <n v="233"/>
    <n v="18.940000000000001"/>
    <n v="3.005E-2"/>
    <n v="7.8300000000000002E-3"/>
    <n v="536.16300000000001"/>
    <n v="4.011E-2"/>
    <n v="37.923999999999999"/>
    <n v="12113.054"/>
    <n v="983.31100000000004"/>
    <n v="3559.2240000000002"/>
    <n v="288.93"/>
    <n v="-5.6959999999999997E-2"/>
    <n v="-37.476999999999997"/>
    <n v="7643.1409999999996"/>
    <n v="620.45299999999997"/>
    <n v="0.45846999999999999"/>
    <n v="0.24204999999999999"/>
    <n v="613.22"/>
    <n v="630.20000000000005"/>
    <n v="0.17350000000000002"/>
    <n v="2.5169999999999998E-2"/>
    <n v="99.751999999999995"/>
    <n v="50043.065999999999"/>
    <n v="1.3160000000000001"/>
    <n v="1.583E-2"/>
    <n v="52.362000000000002"/>
    <n v="4808.826"/>
    <n v="390.37"/>
    <n v="41398.222999999998"/>
    <n v="3360.6170000000002"/>
    <n v="0.61943999999999999"/>
    <n v="0.82724999999999993"/>
    <n v="1.9119999999999998E-2"/>
    <n v="17.257999999999999"/>
    <n v="920.06899999999996"/>
    <n v="921"/>
    <n v="74.73"/>
    <n v="11333.994000000001"/>
    <n v="-1.2119999999999999E-2"/>
    <n v="-2.0049999999999999"/>
    <n v="2013.1369999999999"/>
    <n v="163.422"/>
    <n v="0.11858"/>
    <n v="0.22647999999999999"/>
    <n v="337.89"/>
    <n v="2.001E-2"/>
    <n v="0.76500000000000001"/>
    <n v="56.996000000000002"/>
    <n v="246.74199999999999"/>
    <n v="20.03"/>
    <n v="702.11699999999996"/>
    <n v="3.1780000000000003E-2"/>
    <n v="1.4030000000000001E-2"/>
    <n v="0.10269"/>
    <n v="47.39"/>
    <n v="701.77"/>
    <n v="2954.3789999999999"/>
    <n v="239.83"/>
    <n v="8644.8459999999995"/>
    <n v="0.38055999999999995"/>
    <n v="0.17274999999999999"/>
    <n v="-16.98"/>
    <n v="-2.7690000000000003E-2"/>
    <n v="2.648E-2"/>
    <n v="8.9700000000000006"/>
    <n v="456.95499999999998"/>
    <n v="2061"/>
    <n v="167"/>
    <n v="5629.0659999999998"/>
    <n v="0.27"/>
    <n v="0.11248"/>
    <n v="-1.9300000000000001E-3"/>
    <n v="-2.8210000000000002"/>
    <n v="1457.2370000000001"/>
    <n v="329.03100000000001"/>
    <n v="26.71"/>
    <n v="17951.173999999999"/>
    <n v="9.3699999999999999E-3"/>
    <n v="0.39800000000000002"/>
    <n v="527.98599999999999"/>
    <n v="42.860999999999997"/>
    <n v="4.2380000000000001E-2"/>
    <n v="0.35871000000000003"/>
    <n v="60.445"/>
    <n v="18.940000000000001"/>
    <n v="0"/>
    <n v="0.28745999999999999"/>
    <n v="13.496"/>
    <n v="233"/>
    <n v="0"/>
    <n v="744.601"/>
    <n v="3.005E-2"/>
    <n v="0"/>
    <n v="1.4879999999999999E-2"/>
    <n v="7763.2049999999999"/>
    <n v="4062.3870000000002"/>
    <n v="0.25174000000000002"/>
    <n v="38.42"/>
    <n v="244.81399999999999"/>
    <n v="893.84"/>
    <n v="72.56"/>
    <n v="3015.78"/>
    <n v="0.11513999999999999"/>
    <n v="6.0260000000000001E-2"/>
    <n v="0.73165000000000002"/>
    <n v="2.6989999999999998"/>
    <n v="6.4450000000000003"/>
    <n v="27.963000000000001"/>
    <n v="2.27"/>
    <n v="79.391999999999996"/>
    <n v="3.5999999999999999E-3"/>
    <n v="1.5900000000000001E-3"/>
    <n v="0.12781999999999999"/>
    <n v="9.6010000000000009"/>
    <n v="89.129000000000005"/>
    <n v="386"/>
    <n v="31.32"/>
    <n v="1097.953"/>
    <n v="4.9699999999999994E-2"/>
    <n v="2.1940000000000001E-2"/>
  </r>
  <r>
    <x v="0"/>
    <x v="14"/>
    <s v="FRA"/>
    <n v="61329380"/>
    <n v="2354672041984"/>
    <n v="2354672.0419839998"/>
    <n v="1.0149599999999999"/>
    <n v="8.0920000000000005"/>
    <n v="261.94200000000001"/>
    <n v="16.065000000000001"/>
    <n v="61"/>
    <n v="3.75"/>
    <n v="6.6700000000000006E-3"/>
    <n v="5.2199999999999998E-3"/>
    <n v="80.111999999999995"/>
    <n v="3.4450000000000001E-2"/>
    <n v="5.18"/>
    <n v="2536.3910000000001"/>
    <n v="155.55500000000001"/>
    <n v="398.66699999999997"/>
    <n v="24.45"/>
    <m/>
    <n v="0"/>
    <n v="0"/>
    <n v="0"/>
    <n v="4.3520000000000003E-2"/>
    <n v="5.0570000000000004E-2"/>
    <n v="505.03"/>
    <n v="561.84"/>
    <n v="0.25551999999999997"/>
    <n v="-1.6979999999999999E-2"/>
    <n v="-53.140999999999998"/>
    <n v="50151.976999999999"/>
    <n v="1.306"/>
    <n v="-2.0059999999999998E-2"/>
    <n v="-34.356999999999999"/>
    <n v="942.61500000000001"/>
    <n v="57.81"/>
    <n v="27371.437999999998"/>
    <n v="1678.673"/>
    <n v="0.10289"/>
    <n v="0.54576999999999998"/>
    <n v="-2.8639999999999999E-2"/>
    <n v="-13.196"/>
    <n v="447.60899999999998"/>
    <n v="359"/>
    <n v="21.99"/>
    <n v="7298.4470000000001"/>
    <n v="-0.10987999999999999"/>
    <n v="-1.425"/>
    <n v="188.25700000000001"/>
    <n v="11.545999999999999"/>
    <n v="3.9140000000000001E-2"/>
    <n v="0.14553000000000002"/>
    <n v="45.01"/>
    <n v="2.3109999999999999E-2"/>
    <n v="2.677"/>
    <n v="162.88200000000001"/>
    <n v="912.93899999999996"/>
    <n v="55.99"/>
    <n v="2655.8609999999999"/>
    <n v="9.9650000000000002E-2"/>
    <n v="5.296E-2"/>
    <n v="2.31E-3"/>
    <n v="-18.783999999999999"/>
    <n v="1397.116"/>
    <n v="8218.41"/>
    <n v="504.03"/>
    <n v="22780.539000000001"/>
    <n v="0.89710999999999996"/>
    <n v="0.45423000000000002"/>
    <n v="-56.81"/>
    <n v="-0.11249000000000001"/>
    <n v="-2.3239999999999997E-2"/>
    <n v="-36.067"/>
    <n v="1193.152"/>
    <n v="7170"/>
    <n v="440"/>
    <n v="19454.813999999998"/>
    <n v="0.78"/>
    <n v="0.38792000000000004"/>
    <n v="-2.3910000000000001E-2"/>
    <n v="-26.341000000000001"/>
    <n v="1075.509"/>
    <n v="185.392"/>
    <n v="11.37"/>
    <n v="17536.599999999999"/>
    <n v="-7.4759999999999993E-2"/>
    <n v="-1.0449999999999999"/>
    <n v="210.887"/>
    <n v="12.933999999999999"/>
    <n v="2.0240000000000001E-2"/>
    <n v="0.34966999999999998"/>
    <n v="13.458"/>
    <n v="4.22"/>
    <n v="0.47"/>
    <n v="9.7629999999999995E-2"/>
    <n v="1.1970000000000001"/>
    <n v="69"/>
    <n v="8"/>
    <n v="219.44300000000001"/>
    <n v="7.5100000000000002E-3"/>
    <n v="8.4000000000000003E-4"/>
    <n v="4.3800000000000002E-3"/>
    <n v="9161.0249999999996"/>
    <n v="3075.79"/>
    <n v="0.16586999999999999"/>
    <n v="17.283000000000001"/>
    <n v="203.965"/>
    <n v="1048.4369999999999"/>
    <n v="64.3"/>
    <n v="3325.7249999999999"/>
    <n v="0.11445"/>
    <n v="6.6310000000000008E-2"/>
    <n v="0.51183999999999996"/>
    <n v="1.7000000000000001E-2"/>
    <n v="5.0999999999999997E-2"/>
    <n v="0.32600000000000001"/>
    <n v="0.02"/>
    <n v="0.83"/>
    <n v="4.0000000000000003E-5"/>
    <n v="2.0000000000000002E-5"/>
    <n v="0.86525999999999992"/>
    <n v="5.3"/>
    <n v="11.507999999999999"/>
    <n v="66"/>
    <n v="4.07"/>
    <n v="187.649"/>
    <n v="7.2399999999999999E-3"/>
    <n v="3.7399999999999998E-3"/>
  </r>
  <r>
    <x v="1"/>
    <x v="14"/>
    <s v="DEU"/>
    <n v="81183832"/>
    <n v="3220275724288"/>
    <n v="3220275.7242879998"/>
    <n v="0.13672000000000001"/>
    <n v="4.3479999999999999"/>
    <n v="445.24099999999999"/>
    <n v="36.146000000000001"/>
    <n v="303"/>
    <n v="24.62"/>
    <n v="3.9009999999999996E-2"/>
    <n v="9.2800000000000001E-3"/>
    <n v="551.78300000000002"/>
    <n v="2.5399999999999999E-2"/>
    <n v="24.975999999999999"/>
    <n v="12419.798000000001"/>
    <n v="1008.287"/>
    <n v="3659.596"/>
    <n v="297.10000000000002"/>
    <n v="1.9959999999999999E-2"/>
    <n v="12.382"/>
    <n v="7795.0969999999998"/>
    <n v="632.83600000000001"/>
    <n v="0.47076999999999997"/>
    <n v="0.25896999999999998"/>
    <n v="614.54"/>
    <n v="631.1"/>
    <n v="0.18134"/>
    <n v="-4.1589999999999995E-2"/>
    <n v="-168.964"/>
    <n v="47958.112999999998"/>
    <n v="1.2090000000000001"/>
    <n v="-4.36E-2"/>
    <n v="-146.51"/>
    <n v="4941.0079999999998"/>
    <n v="401.13"/>
    <n v="39590.487999999998"/>
    <n v="3214.107"/>
    <n v="0.63560000000000005"/>
    <n v="0.82552000000000003"/>
    <n v="-3.6639999999999999E-2"/>
    <n v="-33.707000000000001"/>
    <n v="886.36199999999997"/>
    <n v="954"/>
    <n v="77.45"/>
    <n v="10917.960999999999"/>
    <n v="-8.3979999999999999E-2"/>
    <n v="-13.725"/>
    <n v="1843.931"/>
    <n v="149.697"/>
    <n v="0.12272"/>
    <n v="0.22765999999999997"/>
    <n v="348.23"/>
    <n v="5.6860000000000001E-2"/>
    <n v="2.8639999999999999"/>
    <n v="59.860999999999997"/>
    <n v="260.76600000000002"/>
    <n v="21.17"/>
    <n v="737.34799999999996"/>
    <n v="3.354E-2"/>
    <n v="1.537E-2"/>
    <n v="-2.061E-2"/>
    <n v="-22.454000000000001"/>
    <n v="679.31600000000003"/>
    <n v="2832.7069999999999"/>
    <n v="229.97"/>
    <n v="8367.6280000000006"/>
    <n v="0.3644"/>
    <n v="0.17448"/>
    <n v="-16.559999999999999"/>
    <n v="-2.6949999999999998E-2"/>
    <n v="-0.16027000000000002"/>
    <n v="-75.634"/>
    <n v="381.32100000000003"/>
    <n v="1731"/>
    <n v="141"/>
    <n v="4697.009"/>
    <n v="0.22"/>
    <n v="9.7939999999999999E-2"/>
    <n v="-9.4549999999999995E-2"/>
    <n v="-137.77799999999999"/>
    <n v="1319.4590000000001"/>
    <n v="327.40499999999997"/>
    <n v="26.58"/>
    <n v="16252.727000000001"/>
    <n v="-1.8290000000000001E-2"/>
    <n v="-0.78400000000000003"/>
    <n v="518.29"/>
    <n v="42.076999999999998"/>
    <n v="4.2119999999999998E-2"/>
    <n v="0.33889000000000002"/>
    <n v="78.578999999999994"/>
    <n v="24.62"/>
    <n v="0"/>
    <n v="0.30001"/>
    <n v="18.134"/>
    <n v="303"/>
    <n v="0"/>
    <n v="967.91399999999999"/>
    <n v="3.9009999999999996E-2"/>
    <n v="0"/>
    <n v="2.0179999999999997E-2"/>
    <n v="7773.7150000000001"/>
    <n v="3893.4229999999998"/>
    <n v="0.20337"/>
    <n v="53.18"/>
    <n v="297.995"/>
    <n v="1101.6969999999999"/>
    <n v="89.44"/>
    <n v="3670.6179999999999"/>
    <n v="0.14172000000000001"/>
    <n v="7.6539999999999997E-2"/>
    <n v="0.38499"/>
    <n v="2.4249999999999998"/>
    <n v="8.8699999999999992"/>
    <n v="38.677999999999997"/>
    <n v="3.14"/>
    <n v="109.261"/>
    <n v="4.9800000000000001E-3"/>
    <n v="2.2799999999999999E-3"/>
    <n v="0.29315999999999998"/>
    <n v="25.408999999999999"/>
    <n v="114.538"/>
    <n v="499"/>
    <n v="40.51"/>
    <n v="1410.8530000000001"/>
    <n v="6.4189999999999997E-2"/>
    <n v="2.9420000000000002E-2"/>
  </r>
  <r>
    <x v="0"/>
    <x v="15"/>
    <s v="FRA"/>
    <n v="61721004"/>
    <n v="2362451689472"/>
    <n v="2362451.6894720001"/>
    <n v="0.62277000000000005"/>
    <n v="10.005000000000001"/>
    <n v="422.37400000000002"/>
    <n v="26.068999999999999"/>
    <n v="64"/>
    <n v="3.97"/>
    <n v="6.9999999999999993E-3"/>
    <n v="8.4499999999999992E-3"/>
    <n v="76.034000000000006"/>
    <n v="-5.2199999999999996E-2"/>
    <n v="-8.1189999999999998"/>
    <n v="2388.7469999999998"/>
    <n v="147.43600000000001"/>
    <n v="373.61700000000002"/>
    <n v="23.06"/>
    <m/>
    <n v="0"/>
    <n v="0"/>
    <n v="0"/>
    <n v="4.0670000000000005E-2"/>
    <n v="4.7789999999999999E-2"/>
    <n v="518.99"/>
    <n v="566.98"/>
    <n v="0.25742999999999999"/>
    <n v="2.9399999999999999E-3"/>
    <n v="9.0549999999999997"/>
    <n v="49980.468999999997"/>
    <n v="1.306"/>
    <n v="-8.3599999999999994E-3"/>
    <n v="-14.026"/>
    <n v="894.34699999999998"/>
    <n v="55.2"/>
    <n v="26970.51"/>
    <n v="1664.6469999999999"/>
    <n v="9.7360000000000002E-2"/>
    <n v="0.53961999999999999"/>
    <n v="3.6319999999999998E-2"/>
    <n v="16.254999999999999"/>
    <n v="463.86500000000001"/>
    <n v="354"/>
    <n v="21.88"/>
    <n v="7515.5050000000001"/>
    <n v="-0.13164000000000001"/>
    <n v="-1.52"/>
    <n v="162.43799999999999"/>
    <n v="10.026"/>
    <n v="3.8589999999999999E-2"/>
    <n v="0.15037"/>
    <n v="43.11"/>
    <n v="0.10503"/>
    <n v="15.989000000000001"/>
    <n v="178.87100000000001"/>
    <n v="1007.1130000000001"/>
    <n v="62.16"/>
    <n v="2898.0639999999999"/>
    <n v="0.10962999999999999"/>
    <n v="5.7980000000000004E-2"/>
    <n v="3.381E-2"/>
    <n v="23.081"/>
    <n v="1420.1980000000001"/>
    <n v="8291.8289999999997"/>
    <n v="511.78"/>
    <n v="23009.958999999999"/>
    <n v="0.90264"/>
    <n v="0.46037999999999996"/>
    <n v="-47.99"/>
    <n v="-9.2469999999999997E-2"/>
    <n v="-6.4000000000000005E-4"/>
    <n v="-8.1739999999999995"/>
    <n v="1184.9780000000001"/>
    <n v="7120"/>
    <n v="439"/>
    <n v="19198.938999999998"/>
    <n v="0.78"/>
    <n v="0.38412999999999997"/>
    <n v="-2.061E-2"/>
    <n v="-22.161999999999999"/>
    <n v="1053.347"/>
    <n v="166.232"/>
    <n v="10.26"/>
    <n v="17066.259999999998"/>
    <n v="-1.3610000000000001E-2"/>
    <n v="-0.17599999999999999"/>
    <n v="206.697"/>
    <n v="12.757999999999999"/>
    <n v="1.8100000000000002E-2"/>
    <n v="0.34145999999999999"/>
    <n v="14.161"/>
    <n v="4.4400000000000004"/>
    <n v="0.47"/>
    <n v="5.2179999999999997E-2"/>
    <n v="0.70199999999999996"/>
    <n v="72"/>
    <n v="8"/>
    <n v="229.429"/>
    <n v="7.8300000000000002E-3"/>
    <n v="8.3000000000000001E-4"/>
    <n v="4.5900000000000003E-3"/>
    <n v="9186.1759999999995"/>
    <n v="3084.8449999999998"/>
    <n v="0.21864"/>
    <n v="31.254999999999999"/>
    <n v="235.22"/>
    <n v="1171.886"/>
    <n v="72.33"/>
    <n v="3811.0189999999998"/>
    <n v="0.12756999999999999"/>
    <n v="7.6249999999999998E-2"/>
    <n v="1.3333299999999999"/>
    <n v="6.7000000000000004E-2"/>
    <n v="0.11799999999999999"/>
    <n v="0.64800000000000002"/>
    <n v="0.04"/>
    <n v="1.9119999999999999"/>
    <n v="7.0000000000000007E-5"/>
    <n v="4.0000000000000003E-5"/>
    <n v="0.39901999999999999"/>
    <n v="4.492"/>
    <n v="16"/>
    <n v="92"/>
    <n v="5.69"/>
    <n v="259.23899999999998"/>
    <n v="1.004E-2"/>
    <n v="5.1900000000000002E-3"/>
  </r>
  <r>
    <x v="1"/>
    <x v="15"/>
    <s v="DEU"/>
    <n v="81217488"/>
    <n v="3289020366848"/>
    <n v="3289020.3668479999"/>
    <n v="-0.12259"/>
    <n v="-4.431"/>
    <n v="390.49799999999999"/>
    <n v="31.715"/>
    <n v="345"/>
    <n v="28.02"/>
    <n v="4.4320000000000005E-2"/>
    <n v="8.0600000000000012E-3"/>
    <n v="525.40800000000002"/>
    <n v="-7.5850000000000001E-2"/>
    <n v="-76.478999999999999"/>
    <n v="11473"/>
    <n v="931.80799999999999"/>
    <n v="3388.556"/>
    <n v="275.20999999999998"/>
    <n v="-7.936E-2"/>
    <n v="-50.22"/>
    <n v="7173.5259999999998"/>
    <n v="582.61599999999999"/>
    <n v="0.43526000000000004"/>
    <n v="0.23681999999999997"/>
    <n v="612.19000000000005"/>
    <n v="632.29"/>
    <n v="0.18062999999999999"/>
    <n v="1.0589999999999999E-2"/>
    <n v="41.243000000000002"/>
    <n v="48446.046999999999"/>
    <n v="1.196"/>
    <n v="3.6600000000000001E-3"/>
    <n v="11.776"/>
    <n v="4794.9030000000002"/>
    <n v="389.43"/>
    <n v="39719.078000000001"/>
    <n v="3225.884"/>
    <n v="0.6159"/>
    <n v="0.81986000000000003"/>
    <n v="9.75E-3"/>
    <n v="8.6440000000000001"/>
    <n v="895.00599999999997"/>
    <n v="1089"/>
    <n v="88.48"/>
    <n v="11019.870999999999"/>
    <n v="-8.9160000000000003E-2"/>
    <n v="-13.347"/>
    <n v="1678.8340000000001"/>
    <n v="136.351"/>
    <n v="0.13994000000000001"/>
    <n v="0.22747000000000001"/>
    <n v="332.21"/>
    <n v="-3.4340000000000002E-2"/>
    <n v="-2.415"/>
    <n v="57.445999999999998"/>
    <n v="251.67"/>
    <n v="20.440000000000001"/>
    <n v="707.31100000000004"/>
    <n v="3.2329999999999998E-2"/>
    <n v="1.46E-2"/>
    <n v="3.2890000000000003E-2"/>
    <n v="29.466000000000001"/>
    <n v="708.78300000000002"/>
    <n v="2990.2429999999999"/>
    <n v="242.86"/>
    <n v="8726.9699999999993"/>
    <n v="0.38409999999999994"/>
    <n v="0.18013999999999999"/>
    <n v="-20.100000000000001"/>
    <n v="-3.2829999999999998E-2"/>
    <n v="5.8650000000000001E-2"/>
    <n v="19.859000000000002"/>
    <n v="401.18"/>
    <n v="1828"/>
    <n v="148"/>
    <n v="4939.5789999999997"/>
    <n v="0.23"/>
    <n v="0.10196"/>
    <n v="6.0339999999999998E-2"/>
    <n v="79.611000000000004"/>
    <n v="1399.069"/>
    <n v="316.92700000000002"/>
    <n v="25.74"/>
    <n v="17226.206999999999"/>
    <n v="-9.2789999999999997E-2"/>
    <n v="-3.9039999999999999"/>
    <n v="470.005"/>
    <n v="38.173000000000002"/>
    <n v="4.0709999999999996E-2"/>
    <n v="0.35558000000000001"/>
    <n v="89.478999999999999"/>
    <n v="28.04"/>
    <n v="0.02"/>
    <n v="0.13882"/>
    <n v="10.9"/>
    <n v="345"/>
    <n v="0"/>
    <n v="1101.721"/>
    <n v="4.4349999999999994E-2"/>
    <n v="3.0000000000000001E-5"/>
    <n v="2.274E-2"/>
    <n v="7785.1459999999997"/>
    <n v="3934.6660000000002"/>
    <n v="4.0500000000000006E-3"/>
    <n v="9.6069999999999993"/>
    <n v="307.60199999999998"/>
    <n v="1161.942"/>
    <n v="94.37"/>
    <n v="3787.39"/>
    <n v="0.14924999999999999"/>
    <n v="7.8179999999999999E-2"/>
    <n v="0.43703999999999998"/>
    <n v="3.7970000000000002"/>
    <n v="12.667999999999999"/>
    <n v="55.53"/>
    <n v="4.51"/>
    <n v="155.97300000000001"/>
    <n v="7.1300000000000001E-3"/>
    <n v="3.2200000000000002E-3"/>
    <n v="2.1680000000000001E-2"/>
    <n v="1.756"/>
    <n v="116.294"/>
    <n v="509"/>
    <n v="41.38"/>
    <n v="1431.8869999999999"/>
    <n v="6.5439999999999998E-2"/>
    <n v="2.9559999999999999E-2"/>
  </r>
  <r>
    <x v="0"/>
    <x v="16"/>
    <s v="FRA"/>
    <n v="62093300"/>
    <n v="2295353049088"/>
    <n v="2295353.0490879999"/>
    <n v="6.9919999999999996E-2"/>
    <n v="1.823"/>
    <n v="449.19600000000003"/>
    <n v="27.891999999999999"/>
    <n v="67"/>
    <n v="4.13"/>
    <n v="7.8100000000000001E-3"/>
    <n v="9.5899999999999996E-3"/>
    <n v="75.594999999999999"/>
    <n v="-0.12773000000000001"/>
    <n v="-18.832999999999998"/>
    <n v="2071.1289999999999"/>
    <n v="128.60300000000001"/>
    <n v="348.99099999999999"/>
    <n v="21.67"/>
    <m/>
    <n v="0"/>
    <n v="0"/>
    <n v="0"/>
    <n v="4.0970000000000006E-2"/>
    <n v="4.4209999999999999E-2"/>
    <n v="502.94"/>
    <n v="528.87"/>
    <n v="0.25275999999999998"/>
    <n v="-5.7030000000000004E-2"/>
    <n v="-175.934"/>
    <n v="46847.41"/>
    <n v="1.2669999999999999"/>
    <n v="-4.6879999999999998E-2"/>
    <n v="-78.033000000000001"/>
    <n v="821.02300000000002"/>
    <n v="50.98"/>
    <n v="25552.09"/>
    <n v="1586.614"/>
    <n v="9.638999999999999E-2"/>
    <n v="0.54542999999999997"/>
    <n v="-3.569E-2"/>
    <n v="-16.553999999999998"/>
    <n v="447.31099999999998"/>
    <n v="330"/>
    <n v="20.5"/>
    <n v="7203.8490000000002"/>
    <n v="-4.8930000000000001E-2"/>
    <n v="-0.49099999999999999"/>
    <n v="153.56299999999999"/>
    <n v="9.5350000000000001"/>
    <n v="3.8759999999999996E-2"/>
    <n v="0.15377000000000002"/>
    <n v="39.979999999999997"/>
    <n v="-0.10462999999999999"/>
    <n v="-19.704000000000001"/>
    <n v="159.16800000000001"/>
    <n v="893.65499999999997"/>
    <n v="55.49"/>
    <n v="2563.366"/>
    <n v="0.10492000000000001"/>
    <n v="5.4720000000000005E-2"/>
    <n v="-5.944E-2"/>
    <n v="-97.900999999999996"/>
    <n v="1322.297"/>
    <n v="7696.3220000000001"/>
    <n v="477.89"/>
    <n v="21295.322"/>
    <n v="0.90361000000000002"/>
    <n v="0.45457000000000003"/>
    <n v="-25.93"/>
    <n v="-5.1559999999999995E-2"/>
    <n v="-6.7610000000000003E-2"/>
    <n v="-86.936999999999998"/>
    <n v="1098.0409999999999"/>
    <n v="6599"/>
    <n v="410"/>
    <n v="17683.732"/>
    <n v="0.77"/>
    <n v="0.37747999999999998"/>
    <n v="-4.0490000000000005E-2"/>
    <n v="-42.646999999999998"/>
    <n v="1010.699"/>
    <n v="141.88300000000001"/>
    <n v="8.81"/>
    <n v="16277.109"/>
    <n v="-6.9190000000000002E-2"/>
    <n v="-0.88300000000000001"/>
    <n v="191.24100000000001"/>
    <n v="11.875"/>
    <n v="1.6659999999999998E-2"/>
    <n v="0.34744999999999998"/>
    <n v="14.614000000000001"/>
    <n v="4.58"/>
    <n v="0.45"/>
    <n v="3.2010000000000004E-2"/>
    <n v="0.45300000000000001"/>
    <n v="74"/>
    <n v="7"/>
    <n v="235.35400000000001"/>
    <n v="8.6599999999999993E-3"/>
    <n v="8.5000000000000006E-4"/>
    <n v="5.0200000000000002E-3"/>
    <n v="8517.3439999999991"/>
    <n v="2908.91"/>
    <n v="-2.3479999999999997E-2"/>
    <n v="-10.964"/>
    <n v="224.256"/>
    <n v="1097.5419999999999"/>
    <n v="68.150000000000006"/>
    <n v="3611.5920000000001"/>
    <n v="0.12886"/>
    <n v="7.7089999999999992E-2"/>
    <n v="3.1428600000000002"/>
    <n v="0.36799999999999999"/>
    <n v="0.48599999999999999"/>
    <n v="2.738"/>
    <n v="0.17"/>
    <n v="7.8259999999999996"/>
    <n v="3.2000000000000003E-4"/>
    <n v="1.7000000000000001E-4"/>
    <n v="0.38953000000000004"/>
    <n v="6.0949999999999998"/>
    <n v="22.096"/>
    <n v="127"/>
    <n v="7.91"/>
    <n v="355.851"/>
    <n v="1.4959999999999999E-2"/>
    <n v="7.6E-3"/>
  </r>
  <r>
    <x v="1"/>
    <x v="16"/>
    <s v="DEU"/>
    <n v="81260624"/>
    <n v="3136502104064"/>
    <n v="3136502.1040639998"/>
    <n v="-6.3899999999999998E-3"/>
    <n v="-0.20300000000000001"/>
    <n v="387.79700000000003"/>
    <n v="31.513000000000002"/>
    <n v="380"/>
    <n v="30.89"/>
    <n v="5.2539999999999996E-2"/>
    <n v="8.5299999999999994E-3"/>
    <n v="521.54899999999998"/>
    <n v="-0.10464999999999999"/>
    <n v="-97.516000000000005"/>
    <n v="10266.871999999999"/>
    <n v="834.29200000000003"/>
    <n v="3118.9769999999999"/>
    <n v="253.45"/>
    <n v="-7.3480000000000004E-2"/>
    <n v="-42.813000000000002"/>
    <n v="6642.857"/>
    <n v="539.803"/>
    <n v="0.43107000000000001"/>
    <n v="0.22595999999999999"/>
    <n v="575.69000000000005"/>
    <n v="587.96"/>
    <n v="0.17920000000000003"/>
    <n v="-6.1630000000000004E-2"/>
    <n v="-242.488"/>
    <n v="45436.254000000001"/>
    <n v="1.177"/>
    <n v="-6.4310000000000006E-2"/>
    <n v="-207.452"/>
    <n v="4392.6570000000002"/>
    <n v="356.95"/>
    <n v="37145.078000000001"/>
    <n v="3018.4319999999998"/>
    <n v="0.60709999999999997"/>
    <n v="0.81751999999999991"/>
    <n v="-5.6649999999999999E-2"/>
    <n v="-50.704999999999998"/>
    <n v="844.30100000000004"/>
    <n v="988"/>
    <n v="80.27"/>
    <n v="10390.040000000001"/>
    <n v="-6.5189999999999998E-2"/>
    <n v="-8.8889999999999993"/>
    <n v="1568.5540000000001"/>
    <n v="127.462"/>
    <n v="0.13652"/>
    <n v="0.22867000000000001"/>
    <n v="306.64999999999998"/>
    <n v="-6.9070000000000006E-2"/>
    <n v="-4.298"/>
    <n v="53.148000000000003"/>
    <n v="234.185"/>
    <n v="19.03"/>
    <n v="654.04499999999996"/>
    <n v="3.2370000000000003E-2"/>
    <n v="1.439E-2"/>
    <n v="-4.4920000000000002E-2"/>
    <n v="-35.036000000000001"/>
    <n v="673.74599999999998"/>
    <n v="2842.828"/>
    <n v="231.01"/>
    <n v="8291.1769999999997"/>
    <n v="0.39289999999999997"/>
    <n v="0.18248"/>
    <n v="-12.27"/>
    <n v="-2.1309999999999999E-2"/>
    <n v="-9.305999999999999E-2"/>
    <n v="-39.579000000000001"/>
    <n v="361.601"/>
    <n v="1660"/>
    <n v="135"/>
    <n v="4449.8909999999996"/>
    <n v="0.23"/>
    <n v="9.7939999999999999E-2"/>
    <n v="-4.2340000000000003E-2"/>
    <n v="-59.231000000000002"/>
    <n v="1339.838"/>
    <n v="285.87"/>
    <n v="23.23"/>
    <n v="16488.162"/>
    <n v="-8.584E-2"/>
    <n v="-3.2770000000000001"/>
    <n v="429.43299999999999"/>
    <n v="34.896000000000001"/>
    <n v="3.9510000000000003E-2"/>
    <n v="0.36288999999999999"/>
    <n v="98.643000000000001"/>
    <n v="30.91"/>
    <n v="0.02"/>
    <n v="0.10241"/>
    <n v="9.1639999999999997"/>
    <n v="380"/>
    <n v="0"/>
    <n v="1213.9069999999999"/>
    <n v="5.2569999999999999E-2"/>
    <n v="3.0000000000000001E-5"/>
    <n v="2.6720000000000001E-2"/>
    <n v="7235.4849999999997"/>
    <n v="3692.1779999999999"/>
    <n v="1.188E-2"/>
    <n v="4.5430000000000001"/>
    <n v="312.14499999999998"/>
    <n v="1182.3689999999999"/>
    <n v="96.08"/>
    <n v="3841.2860000000001"/>
    <n v="0.16341"/>
    <n v="8.4540000000000004E-2"/>
    <n v="0.48957000000000001"/>
    <n v="6.085"/>
    <n v="18.753"/>
    <n v="82.697000000000003"/>
    <n v="6.72"/>
    <n v="230.77699999999999"/>
    <n v="1.1430000000000001E-2"/>
    <n v="5.0800000000000003E-3"/>
    <n v="-4.7480000000000001E-2"/>
    <n v="-6.2060000000000004"/>
    <n v="110.089"/>
    <n v="485"/>
    <n v="39.42"/>
    <n v="1354.761"/>
    <n v="6.7049999999999998E-2"/>
    <n v="2.9820000000000003E-2"/>
  </r>
  <r>
    <x v="0"/>
    <x v="17"/>
    <s v="FRA"/>
    <n v="62444568"/>
    <n v="2342490472448"/>
    <n v="2342490.4724480002"/>
    <n v="-1.9980000000000001E-2"/>
    <n v="-0.55700000000000005"/>
    <n v="437.745"/>
    <n v="27.335000000000001"/>
    <n v="71"/>
    <n v="4.4400000000000004"/>
    <n v="7.9000000000000008E-3"/>
    <n v="9.11E-3"/>
    <n v="78.561999999999998"/>
    <n v="7.4200000000000002E-2"/>
    <n v="9.5429999999999993"/>
    <n v="2212.2979999999998"/>
    <n v="138.14599999999999"/>
    <n v="374.09199999999998"/>
    <n v="23.36"/>
    <m/>
    <n v="0"/>
    <n v="0"/>
    <n v="0"/>
    <n v="4.1540000000000001E-2"/>
    <n v="4.6029999999999995E-2"/>
    <n v="531.65"/>
    <n v="562.36"/>
    <n v="0.26205000000000001"/>
    <n v="3.1739999999999997E-2"/>
    <n v="92.32"/>
    <n v="48062.32"/>
    <n v="1.2809999999999999"/>
    <n v="1.6930000000000001E-2"/>
    <n v="26.856999999999999"/>
    <n v="915.37199999999996"/>
    <n v="57.16"/>
    <n v="25838.447"/>
    <n v="1613.471"/>
    <n v="0.10163999999999999"/>
    <n v="0.53759999999999997"/>
    <n v="0.10804999999999999"/>
    <n v="48.334000000000003"/>
    <n v="495.64499999999998"/>
    <n v="380"/>
    <n v="23.76"/>
    <n v="7937.3519999999999"/>
    <n v="-0.15445999999999999"/>
    <n v="-1.4730000000000001"/>
    <n v="129.113"/>
    <n v="8.0619999999999994"/>
    <n v="4.2249999999999996E-2"/>
    <n v="0.16515000000000002"/>
    <n v="44.18"/>
    <n v="0.10035999999999999"/>
    <n v="14.9"/>
    <n v="174.06800000000001"/>
    <n v="980.06899999999996"/>
    <n v="61.2"/>
    <n v="2787.5549999999998"/>
    <n v="0.10883"/>
    <n v="5.7999999999999996E-2"/>
    <n v="5.2760000000000001E-2"/>
    <n v="65.462999999999994"/>
    <n v="1387.76"/>
    <n v="8090.375"/>
    <n v="505.2"/>
    <n v="22223.870999999999"/>
    <n v="0.89835999999999994"/>
    <n v="0.46240000000000003"/>
    <n v="-30.71"/>
    <n v="-5.7759999999999999E-2"/>
    <n v="4.5850000000000002E-2"/>
    <n v="43.295999999999999"/>
    <n v="1141.338"/>
    <n v="6862"/>
    <n v="429"/>
    <n v="18277.611000000001"/>
    <n v="0.76"/>
    <n v="0.38029000000000002"/>
    <n v="-3.0689999999999999E-2"/>
    <n v="-31.018999999999998"/>
    <n v="979.68"/>
    <n v="160.78299999999999"/>
    <n v="10.039999999999999"/>
    <n v="15688.798000000001"/>
    <n v="-3.4799999999999996E-3"/>
    <n v="-4.1000000000000002E-2"/>
    <n v="189.505"/>
    <n v="11.834"/>
    <n v="1.7849999999999998E-2"/>
    <n v="0.32643"/>
    <n v="15.696"/>
    <n v="4.92"/>
    <n v="0.48"/>
    <n v="7.4050000000000005E-2"/>
    <n v="1.0820000000000001"/>
    <n v="79"/>
    <n v="8"/>
    <n v="251.36"/>
    <n v="8.7500000000000008E-3"/>
    <n v="8.5000000000000006E-4"/>
    <n v="5.2300000000000003E-3"/>
    <n v="9005.7469999999994"/>
    <n v="3001.2310000000002"/>
    <n v="8.1809999999999994E-2"/>
    <n v="22.167000000000002"/>
    <n v="246.423"/>
    <n v="1227.9690000000001"/>
    <n v="76.680000000000007"/>
    <n v="3946.26"/>
    <n v="0.13635"/>
    <n v="8.2110000000000002E-2"/>
    <n v="2.5632199999999998"/>
    <n v="1.2350000000000001"/>
    <n v="1.7210000000000001"/>
    <n v="9.9290000000000003"/>
    <n v="0.62"/>
    <n v="27.558"/>
    <n v="1.1000000000000001E-3"/>
    <n v="5.6999999999999998E-4"/>
    <n v="0.25695000000000001"/>
    <n v="5.5069999999999997"/>
    <n v="27.603000000000002"/>
    <n v="159"/>
    <n v="9.94"/>
    <n v="442.04199999999997"/>
    <n v="1.7680000000000001E-2"/>
    <n v="9.1999999999999998E-3"/>
  </r>
  <r>
    <x v="1"/>
    <x v="17"/>
    <s v="DEU"/>
    <n v="81325088"/>
    <n v="3301123031040"/>
    <n v="3301123.0310399998"/>
    <n v="9.3999999999999997E-4"/>
    <n v="0.03"/>
    <n v="387.85399999999998"/>
    <n v="31.542000000000002"/>
    <n v="417"/>
    <n v="33.92"/>
    <n v="5.4339999999999999E-2"/>
    <n v="8.199999999999999E-3"/>
    <n v="516.63699999999994"/>
    <n v="7.417E-2"/>
    <n v="61.88"/>
    <n v="11019.628000000001"/>
    <n v="896.17200000000003"/>
    <n v="3232.5819999999999"/>
    <n v="262.89"/>
    <n v="-1.1129999999999999E-2"/>
    <n v="-6.008"/>
    <n v="6563.7179999999998"/>
    <n v="533.79499999999996"/>
    <n v="0.42115999999999998"/>
    <n v="0.23294000000000001"/>
    <n v="609.26"/>
    <n v="624.21"/>
    <n v="0.18293999999999999"/>
    <n v="4.197E-2"/>
    <n v="154.97300000000001"/>
    <n v="47305.836000000003"/>
    <n v="1.165"/>
    <n v="3.8460000000000001E-2"/>
    <n v="116.09699999999999"/>
    <n v="4650.9629999999997"/>
    <n v="378.24"/>
    <n v="38543.195"/>
    <n v="3134.529"/>
    <n v="0.60594999999999999"/>
    <n v="0.81476999999999999"/>
    <n v="4.3129999999999995E-2"/>
    <n v="36.411000000000001"/>
    <n v="880.71199999999999"/>
    <n v="1091"/>
    <n v="88.76"/>
    <n v="10829.53"/>
    <n v="-0.12726999999999999"/>
    <n v="-16.222000000000001"/>
    <n v="1367.8430000000001"/>
    <n v="111.24"/>
    <n v="0.14219999999999999"/>
    <n v="0.22892999999999999"/>
    <n v="322.49"/>
    <n v="0.10099"/>
    <n v="5.0090000000000003"/>
    <n v="58.156999999999996"/>
    <n v="257.608"/>
    <n v="20.95"/>
    <n v="715.11400000000003"/>
    <n v="3.356E-2"/>
    <n v="1.512E-2"/>
    <n v="5.713E-2"/>
    <n v="38.875999999999998"/>
    <n v="712.62199999999996"/>
    <n v="3024.5279999999998"/>
    <n v="245.97"/>
    <n v="8762.64"/>
    <n v="0.39405000000000001"/>
    <n v="0.18523000000000001"/>
    <n v="-14.95"/>
    <n v="-2.4540000000000003E-2"/>
    <n v="4.1680000000000002E-2"/>
    <n v="12.760999999999999"/>
    <n v="374.36200000000002"/>
    <n v="1728"/>
    <n v="141"/>
    <n v="4603.2740000000003"/>
    <n v="0.23"/>
    <n v="9.7309999999999994E-2"/>
    <n v="1.329E-2"/>
    <n v="17.806000000000001"/>
    <n v="1357.644"/>
    <n v="326.959"/>
    <n v="26.59"/>
    <n v="16694.041000000001"/>
    <n v="-0.1091"/>
    <n v="-3.8069999999999999"/>
    <n v="382.27600000000001"/>
    <n v="31.088999999999999"/>
    <n v="4.2599999999999999E-2"/>
    <n v="0.35289999999999999"/>
    <n v="108.367"/>
    <n v="33.950000000000003"/>
    <n v="0.03"/>
    <n v="9.8619999999999999E-2"/>
    <n v="9.7240000000000002"/>
    <n v="417"/>
    <n v="0"/>
    <n v="1332.52"/>
    <n v="5.4390000000000001E-2"/>
    <n v="5.0000000000000002E-5"/>
    <n v="2.8170000000000001E-2"/>
    <n v="7675.4920000000002"/>
    <n v="3847.1509999999998"/>
    <n v="7.3480000000000004E-2"/>
    <n v="26.114999999999998"/>
    <n v="338.26100000000002"/>
    <n v="1296.1559999999999"/>
    <n v="105.41"/>
    <n v="4159.3649999999998"/>
    <n v="0.16886999999999999"/>
    <n v="8.7919999999999998E-2"/>
    <n v="0.78153000000000006"/>
    <n v="14.451000000000001"/>
    <n v="33.204000000000001"/>
    <n v="147.06399999999999"/>
    <n v="11.96"/>
    <n v="408.29"/>
    <n v="1.916E-2"/>
    <n v="8.6300000000000005E-3"/>
    <n v="-2.215E-2"/>
    <n v="-3.0979999999999999"/>
    <n v="106.99"/>
    <n v="474"/>
    <n v="38.549999999999997"/>
    <n v="1315.587"/>
    <n v="6.1760000000000002E-2"/>
    <n v="2.7810000000000001E-2"/>
  </r>
  <r>
    <x v="0"/>
    <x v="18"/>
    <s v="FRA"/>
    <n v="62775272"/>
    <n v="2393401982976"/>
    <n v="2393401.9829759998"/>
    <n v="-1.221E-2"/>
    <n v="-0.33400000000000002"/>
    <n v="430.12299999999999"/>
    <n v="27.001000000000001"/>
    <n v="80"/>
    <n v="5.04"/>
    <n v="8.8800000000000007E-3"/>
    <n v="9.3200000000000002E-3"/>
    <n v="74.388999999999996"/>
    <n v="-0.10421"/>
    <n v="-14.396000000000001"/>
    <n v="1971.316"/>
    <n v="123.75"/>
    <n v="277.02"/>
    <n v="17.39"/>
    <m/>
    <n v="0"/>
    <n v="0"/>
    <n v="0"/>
    <n v="3.065E-2"/>
    <n v="4.2720000000000001E-2"/>
    <n v="511.01"/>
    <n v="567.41999999999996"/>
    <n v="0.27634000000000003"/>
    <n v="-3.4720000000000001E-2"/>
    <n v="-104.20399999999999"/>
    <n v="46149.175999999999"/>
    <n v="1.21"/>
    <n v="-5.9229999999999998E-2"/>
    <n v="-95.569000000000003"/>
    <n v="940.02"/>
    <n v="59.01"/>
    <n v="24179.93"/>
    <n v="1517.902"/>
    <n v="0.10400000000000001"/>
    <n v="0.52395000000000003"/>
    <n v="-0.13205999999999998"/>
    <n v="-65.453999999999994"/>
    <n v="430.19"/>
    <n v="470"/>
    <n v="29.49"/>
    <n v="6852.8630000000003"/>
    <n v="-0.17361000000000001"/>
    <n v="-1.4"/>
    <n v="106.136"/>
    <n v="6.6630000000000003"/>
    <n v="5.1970000000000002E-2"/>
    <n v="0.14849000000000001"/>
    <n v="42.21"/>
    <n v="-0.28486999999999996"/>
    <n v="-50.345999999999997"/>
    <n v="123.72199999999999"/>
    <n v="728.63099999999997"/>
    <n v="45.74"/>
    <n v="1970.866"/>
    <n v="8.0610000000000001E-2"/>
    <n v="4.2709999999999998E-2"/>
    <n v="1.7999999999999998E-4"/>
    <n v="-8.6349999999999998"/>
    <n v="1379.125"/>
    <n v="8098.89"/>
    <n v="508.41"/>
    <n v="21969.248"/>
    <n v="0.89599999999999991"/>
    <n v="0.47604999999999997"/>
    <n v="-56.41"/>
    <n v="-0.11039"/>
    <n v="3.236E-2"/>
    <n v="29.748999999999999"/>
    <n v="1171.086"/>
    <n v="7047"/>
    <n v="442"/>
    <n v="18655.213"/>
    <n v="0.78"/>
    <n v="0.40423999999999999"/>
    <n v="-1.6040000000000002E-2"/>
    <n v="-15.718999999999999"/>
    <n v="963.96100000000001"/>
    <n v="193.22900000000001"/>
    <n v="12.13"/>
    <n v="15355.748"/>
    <n v="-1.353E-2"/>
    <n v="-0.16"/>
    <n v="185.95599999999999"/>
    <n v="11.673"/>
    <n v="2.138E-2"/>
    <n v="0.33274000000000004"/>
    <n v="17.616"/>
    <n v="5.58"/>
    <n v="0.54"/>
    <n v="0.12231"/>
    <n v="1.92"/>
    <n v="89"/>
    <n v="9"/>
    <n v="280.61700000000002"/>
    <n v="9.8300000000000002E-3"/>
    <n v="9.5E-4"/>
    <n v="6.0799999999999995E-3"/>
    <n v="9038.9089999999997"/>
    <n v="2897.027"/>
    <n v="-0.1305"/>
    <n v="-38.383000000000003"/>
    <n v="208.03899999999999"/>
    <n v="1051.6880000000001"/>
    <n v="66.02"/>
    <n v="3314.0360000000001"/>
    <n v="0.11635"/>
    <n v="7.1809999999999999E-2"/>
    <n v="2.3513600000000001"/>
    <n v="4.0110000000000001"/>
    <n v="5.7320000000000002"/>
    <n v="37.116999999999997"/>
    <n v="2.33"/>
    <n v="91.311000000000007"/>
    <n v="4.1099999999999999E-3"/>
    <n v="1.98E-3"/>
    <n v="0.23816999999999999"/>
    <n v="6.3659999999999997"/>
    <n v="33.969000000000001"/>
    <n v="197"/>
    <n v="12.37"/>
    <n v="541.11900000000003"/>
    <n v="2.18E-2"/>
    <n v="1.1730000000000001E-2"/>
  </r>
  <r>
    <x v="1"/>
    <x v="18"/>
    <s v="DEU"/>
    <n v="81423384"/>
    <n v="3467712921600"/>
    <n v="3467712.9216"/>
    <n v="4.1410000000000002E-2"/>
    <n v="1.306"/>
    <n v="403.42599999999999"/>
    <n v="32.847999999999999"/>
    <n v="453"/>
    <n v="36.89"/>
    <n v="6.0979999999999999E-2"/>
    <n v="8.8500000000000002E-3"/>
    <n v="529.66899999999998"/>
    <n v="1.6310000000000002E-2"/>
    <n v="14.619"/>
    <n v="11185.866"/>
    <n v="910.79100000000005"/>
    <n v="3223.3980000000001"/>
    <n v="262.45999999999998"/>
    <n v="1.8149999999999999E-2"/>
    <n v="9.6880000000000006"/>
    <n v="6674.7709999999997"/>
    <n v="543.48199999999997"/>
    <n v="0.43381999999999998"/>
    <n v="0.24545999999999998"/>
    <n v="601.23"/>
    <n v="605"/>
    <n v="0.18345"/>
    <n v="-3.5499999999999997E-2"/>
    <n v="-136.56700000000001"/>
    <n v="45571.483999999997"/>
    <n v="1.07"/>
    <n v="-3.2500000000000001E-2"/>
    <n v="-101.86"/>
    <n v="4576.0810000000001"/>
    <n v="372.6"/>
    <n v="37245.68"/>
    <n v="3032.6689999999999"/>
    <n v="0.61587000000000003"/>
    <n v="0.81730000000000003"/>
    <n v="-8.1869999999999998E-2"/>
    <n v="-72.105000000000004"/>
    <n v="808.60699999999997"/>
    <n v="1052"/>
    <n v="85.67"/>
    <n v="9930.8960000000006"/>
    <n v="-5.9200000000000003E-2"/>
    <n v="-6.585"/>
    <n v="1285.3130000000001"/>
    <n v="104.655"/>
    <n v="0.1416"/>
    <n v="0.21792"/>
    <n v="320.45"/>
    <n v="-0.15664"/>
    <n v="-9.4090000000000007"/>
    <n v="48.747999999999998"/>
    <n v="217.01400000000001"/>
    <n v="17.670000000000002"/>
    <n v="598.70000000000005"/>
    <n v="2.921E-2"/>
    <n v="1.3140000000000001E-2"/>
    <n v="-4.4199999999999996E-2"/>
    <n v="-34.707000000000001"/>
    <n v="677.91600000000005"/>
    <n v="2854.2170000000001"/>
    <n v="232.4"/>
    <n v="8325.8089999999993"/>
    <n v="0.38412999999999997"/>
    <n v="0.1827"/>
    <n v="-3.77"/>
    <n v="-6.2700000000000004E-3"/>
    <n v="-0.23183000000000001"/>
    <n v="-88.540999999999997"/>
    <n v="285.82100000000003"/>
    <n v="1326"/>
    <n v="108"/>
    <n v="3510.3029999999999"/>
    <n v="0.18"/>
    <n v="7.7030000000000001E-2"/>
    <n v="-3.2680000000000001E-2"/>
    <n v="-44.372999999999998"/>
    <n v="1313.271"/>
    <n v="300.52800000000002"/>
    <n v="24.47"/>
    <n v="16128.915000000001"/>
    <n v="4.0819999999999995E-2"/>
    <n v="1.2689999999999999"/>
    <n v="397.399"/>
    <n v="32.357999999999997"/>
    <n v="4.045E-2"/>
    <n v="0.35393000000000002"/>
    <n v="117.812"/>
    <n v="36.909999999999997"/>
    <n v="0.02"/>
    <n v="8.7100000000000011E-2"/>
    <n v="9.4440000000000008"/>
    <n v="453"/>
    <n v="0"/>
    <n v="1446.903"/>
    <n v="6.1010000000000002E-2"/>
    <n v="3.0000000000000001E-5"/>
    <n v="3.175E-2"/>
    <n v="7430.2969999999996"/>
    <n v="3710.5839999999998"/>
    <n v="0.14835999999999999"/>
    <n v="53.834000000000003"/>
    <n v="392.09500000000003"/>
    <n v="1528.1849999999999"/>
    <n v="124.43"/>
    <n v="4815.5060000000003"/>
    <n v="0.20566999999999999"/>
    <n v="0.10567"/>
    <n v="0.67106999999999994"/>
    <n v="21.943999999999999"/>
    <n v="55.148000000000003"/>
    <n v="245.50700000000001"/>
    <n v="19.989999999999998"/>
    <n v="677.30200000000002"/>
    <n v="3.304E-2"/>
    <n v="1.486E-2"/>
    <n v="0.29341"/>
    <n v="30.547999999999998"/>
    <n v="137.53800000000001"/>
    <n v="612"/>
    <n v="49.86"/>
    <n v="1689.174"/>
    <n v="8.2409999999999997E-2"/>
    <n v="3.7069999999999999E-2"/>
  </r>
  <r>
    <x v="0"/>
    <x v="19"/>
    <s v="FRA"/>
    <n v="63071412"/>
    <n v="2400896417792"/>
    <n v="2400896.4177919999"/>
    <n v="9.4750000000000001E-2"/>
    <n v="2.5579999999999998"/>
    <n v="468.66699999999997"/>
    <n v="29.559000000000001"/>
    <n v="84"/>
    <n v="5.3"/>
    <n v="9.3400000000000011E-3"/>
    <n v="1.0209999999999999E-2"/>
    <n v="77.593000000000004"/>
    <n v="0.11151"/>
    <n v="13.798999999999999"/>
    <n v="2180.8510000000001"/>
    <n v="137.54900000000001"/>
    <n v="340.24900000000002"/>
    <n v="21.46"/>
    <m/>
    <n v="0"/>
    <n v="0"/>
    <n v="0"/>
    <n v="3.7810000000000003E-2"/>
    <n v="4.7530000000000003E-2"/>
    <n v="523.05999999999995"/>
    <n v="567.58000000000004"/>
    <n v="0.27640999999999999"/>
    <n v="-1.0399999999999999E-3"/>
    <n v="-3"/>
    <n v="45884.934000000001"/>
    <n v="1.2050000000000001"/>
    <n v="-3.1199999999999999E-3"/>
    <n v="-4.7309999999999999"/>
    <n v="902.46900000000005"/>
    <n v="56.92"/>
    <n v="23991.393"/>
    <n v="1513.171"/>
    <n v="0.10029"/>
    <n v="0.52285999999999999"/>
    <n v="3.313E-2"/>
    <n v="14.253"/>
    <n v="444.44299999999998"/>
    <n v="361"/>
    <n v="22.75"/>
    <n v="7046.6629999999996"/>
    <n v="-0.12376"/>
    <n v="-0.82499999999999996"/>
    <n v="92.563999999999993"/>
    <n v="5.8380000000000001"/>
    <n v="4.0079999999999998E-2"/>
    <n v="0.15356999999999998"/>
    <n v="44.04"/>
    <n v="0.31065999999999999"/>
    <n v="37.453000000000003"/>
    <n v="161.17400000000001"/>
    <n v="948.60699999999997"/>
    <n v="59.83"/>
    <n v="2555.4270000000001"/>
    <n v="0.10541"/>
    <n v="5.5689999999999996E-2"/>
    <n v="8.3899999999999999E-3"/>
    <n v="1.7310000000000001"/>
    <n v="1380.857"/>
    <n v="8096.5370000000003"/>
    <n v="510.66"/>
    <n v="21893.543000000001"/>
    <n v="0.89971000000000001"/>
    <n v="0.47714000000000001"/>
    <n v="-44.52"/>
    <n v="-8.5109999999999991E-2"/>
    <n v="-3.8390000000000001E-2"/>
    <n v="-51.779000000000003"/>
    <n v="1119.307"/>
    <n v="6745"/>
    <n v="425"/>
    <n v="17746.664000000001"/>
    <n v="0.75"/>
    <n v="0.38675999999999999"/>
    <n v="-3.4009999999999999E-2"/>
    <n v="-32.783000000000001"/>
    <n v="931.17899999999997"/>
    <n v="201.518"/>
    <n v="12.71"/>
    <n v="14763.879000000001"/>
    <n v="-8.2479999999999998E-2"/>
    <n v="-0.96299999999999997"/>
    <n v="169.81800000000001"/>
    <n v="10.711"/>
    <n v="2.239E-2"/>
    <n v="0.32176000000000005"/>
    <n v="18.378"/>
    <n v="5.81"/>
    <n v="0.51"/>
    <n v="4.3270000000000003E-2"/>
    <n v="0.76200000000000001"/>
    <n v="92"/>
    <n v="8"/>
    <n v="291.38600000000002"/>
    <n v="1.0240000000000001E-2"/>
    <n v="8.9999999999999998E-4"/>
    <n v="6.3499999999999997E-3"/>
    <n v="8999.0059999999994"/>
    <n v="2894.0279999999998"/>
    <n v="0.2339"/>
    <n v="53.51"/>
    <n v="261.55"/>
    <n v="1351.6420000000001"/>
    <n v="85.25"/>
    <n v="4146.8810000000003"/>
    <n v="0.1502"/>
    <n v="9.0380000000000002E-2"/>
    <n v="0.93293000000000004"/>
    <n v="5.28"/>
    <n v="11.013"/>
    <n v="70.238"/>
    <n v="4.43"/>
    <n v="174.60400000000001"/>
    <n v="7.8100000000000001E-3"/>
    <n v="3.81E-3"/>
    <n v="0.22694"/>
    <n v="7.4560000000000004"/>
    <n v="41.424999999999997"/>
    <n v="241"/>
    <n v="15.18"/>
    <n v="656.79700000000003"/>
    <n v="2.6749999999999999E-2"/>
    <n v="1.431E-2"/>
  </r>
  <r>
    <x v="1"/>
    <x v="19"/>
    <s v="DEU"/>
    <n v="81545568"/>
    <n v="3482225475584"/>
    <n v="3482225.4755839999"/>
    <n v="6.5279999999999991E-2"/>
    <n v="2.1440000000000001"/>
    <n v="429.11700000000002"/>
    <n v="34.993000000000002"/>
    <n v="530"/>
    <n v="43.2"/>
    <n v="6.9699999999999998E-2"/>
    <n v="9.300000000000001E-3"/>
    <n v="534.16399999999999"/>
    <n v="2.7759999999999996E-2"/>
    <n v="25.283000000000001"/>
    <n v="11479.154"/>
    <n v="936.07399999999996"/>
    <n v="3387.431"/>
    <n v="276.23"/>
    <n v="2.2290000000000001E-2"/>
    <n v="12.113"/>
    <n v="6813.3109999999997"/>
    <n v="555.59500000000003"/>
    <n v="0.44567000000000001"/>
    <n v="0.24883"/>
    <n v="599.27"/>
    <n v="619.80999999999995"/>
    <n v="0.18611"/>
    <n v="1.383E-2"/>
    <n v="51.332000000000001"/>
    <n v="46132.684000000001"/>
    <n v="1.08"/>
    <n v="6.5599999999999999E-3"/>
    <n v="19.895"/>
    <n v="4622.5690000000004"/>
    <n v="376.95"/>
    <n v="37433.843999999997"/>
    <n v="3052.5639999999999"/>
    <n v="0.60816999999999999"/>
    <n v="0.81144000000000005"/>
    <n v="3.0799999999999998E-3"/>
    <n v="2.4929999999999999"/>
    <n v="811.101"/>
    <n v="931"/>
    <n v="75.95"/>
    <n v="9946.5930000000008"/>
    <n v="-9.5939999999999998E-2"/>
    <n v="-10.041"/>
    <n v="1160.2560000000001"/>
    <n v="94.614000000000004"/>
    <n v="0.12254"/>
    <n v="0.21561"/>
    <n v="331.08"/>
    <n v="0.23111000000000001"/>
    <n v="10.903"/>
    <n v="59.651000000000003"/>
    <n v="266.72199999999998"/>
    <n v="21.75"/>
    <n v="731.50300000000004"/>
    <n v="3.5089999999999996E-2"/>
    <n v="1.5859999999999999E-2"/>
    <n v="4.7550000000000002E-2"/>
    <n v="31.437000000000001"/>
    <n v="709.35199999999998"/>
    <n v="2978.212"/>
    <n v="242.86"/>
    <n v="8698.8439999999991"/>
    <n v="0.39183000000000001"/>
    <n v="0.18856000000000001"/>
    <n v="-20.54"/>
    <n v="-3.4279999999999998E-2"/>
    <n v="-7.8829999999999997E-2"/>
    <n v="-24.126999999999999"/>
    <n v="261.69400000000002"/>
    <n v="1220"/>
    <n v="99"/>
    <n v="3209.1770000000001"/>
    <n v="0.16"/>
    <n v="6.9560000000000011E-2"/>
    <n v="-6.0000000000000001E-3"/>
    <n v="-7.8819999999999997"/>
    <n v="1305.3889999999999"/>
    <n v="303.75700000000001"/>
    <n v="24.77"/>
    <n v="16008.096"/>
    <n v="2.7400000000000002E-3"/>
    <n v="8.8999999999999996E-2"/>
    <n v="397.89100000000002"/>
    <n v="32.445999999999998"/>
    <n v="3.9960000000000002E-2"/>
    <n v="0.34700000000000003"/>
    <n v="137.98099999999999"/>
    <n v="43.23"/>
    <n v="0.03"/>
    <n v="0.17122000000000001"/>
    <n v="20.169"/>
    <n v="530"/>
    <n v="0"/>
    <n v="1692.0740000000001"/>
    <n v="6.9749999999999993E-2"/>
    <n v="5.0000000000000002E-5"/>
    <n v="3.6680000000000004E-2"/>
    <n v="7600.7809999999999"/>
    <n v="3761.9160000000002"/>
    <n v="0.13430999999999998"/>
    <n v="55.563000000000002"/>
    <n v="447.65800000000002"/>
    <n v="1758.5260000000001"/>
    <n v="143.4"/>
    <n v="5489.6670000000004"/>
    <n v="0.23135999999999998"/>
    <n v="0.11900000000000001"/>
    <n v="0.33779999999999999"/>
    <n v="18.181999999999999"/>
    <n v="73.33"/>
    <n v="327.91500000000002"/>
    <n v="26.74"/>
    <n v="899.25599999999997"/>
    <n v="4.3139999999999998E-2"/>
    <n v="1.949E-2"/>
    <n v="3.6560000000000002E-2"/>
    <n v="4.165"/>
    <n v="141.703"/>
    <n v="634"/>
    <n v="51.68"/>
    <n v="1737.7180000000001"/>
    <n v="8.3379999999999996E-2"/>
    <n v="3.7670000000000002E-2"/>
  </r>
  <r>
    <x v="0"/>
    <x v="20"/>
    <s v="FRA"/>
    <n v="63335180"/>
    <n v="2414733688832"/>
    <n v="2414733.6888319999"/>
    <n v="1.8520000000000002E-2"/>
    <n v="0.54700000000000004"/>
    <n v="475.35700000000003"/>
    <n v="30.106999999999999"/>
    <n v="90"/>
    <n v="5.68"/>
    <n v="9.8499999999999994E-3"/>
    <n v="1.03E-2"/>
    <n v="76.274000000000001"/>
    <n v="6.2199999999999998E-2"/>
    <n v="8.5549999999999997"/>
    <n v="2306.8510000000001"/>
    <n v="146.10499999999999"/>
    <n v="376.41"/>
    <n v="23.84"/>
    <m/>
    <n v="0"/>
    <n v="0"/>
    <n v="0"/>
    <n v="4.1340000000000002E-2"/>
    <n v="4.9960000000000004E-2"/>
    <n v="528.28"/>
    <n v="576.74"/>
    <n v="0.27861999999999998"/>
    <n v="1.0409999999999999E-2"/>
    <n v="30.117999999999999"/>
    <n v="46169.375"/>
    <n v="1.2110000000000001"/>
    <n v="2.3899999999999998E-3"/>
    <n v="3.61"/>
    <n v="846.923"/>
    <n v="53.64"/>
    <n v="23948.48"/>
    <n v="1516.7809999999999"/>
    <n v="9.3009999999999995E-2"/>
    <n v="0.51871"/>
    <n v="1.5720000000000001E-2"/>
    <n v="6.9889999999999999"/>
    <n v="451.43200000000002"/>
    <n v="290"/>
    <n v="18.39"/>
    <n v="7127.6580000000004"/>
    <n v="-0.35904000000000003"/>
    <n v="-2.0960000000000001"/>
    <n v="59.082999999999998"/>
    <n v="3.742"/>
    <n v="3.1890000000000002E-2"/>
    <n v="0.15438000000000002"/>
    <n v="43.99"/>
    <n v="0.20518999999999998"/>
    <n v="31.9"/>
    <n v="193.07499999999999"/>
    <n v="1135.546"/>
    <n v="71.92"/>
    <n v="3048.462"/>
    <n v="0.12470000000000001"/>
    <n v="6.6029999999999991E-2"/>
    <n v="2.3929999999999996E-2"/>
    <n v="26.507000000000001"/>
    <n v="1407.364"/>
    <n v="8259.232"/>
    <n v="523.1"/>
    <n v="22220.891"/>
    <n v="0.90698999999999996"/>
    <n v="0.48129"/>
    <n v="-48.46"/>
    <n v="-9.1730000000000006E-2"/>
    <n v="-4.0500000000000006E-3"/>
    <n v="-11.244999999999999"/>
    <n v="1108.0619999999999"/>
    <n v="6689"/>
    <n v="424"/>
    <n v="17495.210999999999"/>
    <n v="0.73"/>
    <n v="0.37894"/>
    <n v="-1.282E-2"/>
    <n v="-11.933999999999999"/>
    <n v="919.245"/>
    <n v="180.15299999999999"/>
    <n v="11.41"/>
    <n v="14513.973"/>
    <n v="-1.7319999999999999E-2"/>
    <n v="-0.185"/>
    <n v="166.18199999999999"/>
    <n v="10.525"/>
    <n v="1.9779999999999999E-2"/>
    <n v="0.31435999999999997"/>
    <n v="19.463000000000001"/>
    <n v="6.18"/>
    <n v="0.5"/>
    <n v="5.901E-2"/>
    <n v="1.0840000000000001"/>
    <n v="98"/>
    <n v="8"/>
    <n v="307.29399999999998"/>
    <n v="1.072E-2"/>
    <n v="8.699999999999999E-4"/>
    <n v="6.6600000000000001E-3"/>
    <n v="9106.1550000000007"/>
    <n v="2924.1460000000002"/>
    <n v="0.12906000000000001"/>
    <n v="37.752000000000002"/>
    <n v="299.30200000000002"/>
    <n v="1569.7439999999999"/>
    <n v="99.42"/>
    <n v="4725.68"/>
    <n v="0.17238000000000001"/>
    <n v="0.10236000000000001"/>
    <n v="0.17873999999999998"/>
    <n v="1.89"/>
    <n v="12.903"/>
    <n v="81.944999999999993"/>
    <n v="5.19"/>
    <n v="203.72200000000001"/>
    <n v="9.0000000000000011E-3"/>
    <n v="4.4099999999999999E-3"/>
    <n v="6.2640000000000001E-2"/>
    <n v="2.33"/>
    <n v="43.755000000000003"/>
    <n v="255"/>
    <n v="16.13"/>
    <n v="690.84500000000003"/>
    <n v="2.7970000000000002E-2"/>
    <n v="1.4959999999999999E-2"/>
  </r>
  <r>
    <x v="1"/>
    <x v="20"/>
    <s v="DEU"/>
    <n v="81680592"/>
    <n v="3497463119872"/>
    <n v="3497463.1198720001"/>
    <n v="-0.10518000000000001"/>
    <n v="-3.681"/>
    <n v="383.346"/>
    <n v="31.312000000000001"/>
    <n v="557"/>
    <n v="45.51"/>
    <n v="7.2270000000000001E-2"/>
    <n v="8.09E-3"/>
    <n v="538.02700000000004"/>
    <n v="2.9190000000000001E-2"/>
    <n v="27.324000000000002"/>
    <n v="11794.707"/>
    <n v="963.399"/>
    <n v="3528.3780000000002"/>
    <n v="288.2"/>
    <n v="-5.5510000000000004E-2"/>
    <n v="-30.838999999999999"/>
    <n v="6424.4889999999996"/>
    <n v="524.75599999999997"/>
    <n v="0.45768999999999999"/>
    <n v="0.24904000000000001"/>
    <n v="597.5"/>
    <n v="629.69000000000005"/>
    <n v="0.18368999999999999"/>
    <n v="2.8340000000000001E-2"/>
    <n v="106.601"/>
    <n v="47361.52"/>
    <n v="1.1060000000000001"/>
    <n v="3.107E-2"/>
    <n v="94.840999999999994"/>
    <n v="4657.777"/>
    <n v="380.45"/>
    <n v="38533.078000000001"/>
    <n v="3147.4050000000002"/>
    <n v="0.60419"/>
    <n v="0.81358999999999992"/>
    <n v="4.7640000000000002E-2"/>
    <n v="38.643000000000001"/>
    <n v="849.74300000000005"/>
    <n v="820"/>
    <n v="67"/>
    <n v="10403.246999999999"/>
    <n v="-9.0609999999999996E-2"/>
    <n v="-8.5719999999999992"/>
    <n v="1053.3869999999999"/>
    <n v="86.040999999999997"/>
    <n v="0.10640000000000001"/>
    <n v="0.21966000000000002"/>
    <n v="338.79"/>
    <n v="5.7140000000000003E-2"/>
    <n v="3.028"/>
    <n v="62.679000000000002"/>
    <n v="281.58499999999998"/>
    <n v="23"/>
    <n v="767.36900000000003"/>
    <n v="3.653E-2"/>
    <n v="1.6200000000000003E-2"/>
    <n v="9.6799999999999994E-3"/>
    <n v="11.760999999999999"/>
    <n v="721.11300000000006"/>
    <n v="3051.3980000000001"/>
    <n v="249.24"/>
    <n v="8828.4459999999999"/>
    <n v="0.39581000000000005"/>
    <n v="0.18640999999999999"/>
    <n v="-32.19"/>
    <n v="-5.3869999999999994E-2"/>
    <n v="-2.1819999999999999E-2"/>
    <n v="-7.2519999999999998"/>
    <n v="254.44300000000001"/>
    <n v="1191"/>
    <n v="97"/>
    <n v="3115.0920000000001"/>
    <n v="0.15"/>
    <n v="6.5769999999999995E-2"/>
    <n v="2.2120000000000001E-2"/>
    <n v="28.873000000000001"/>
    <n v="1334.2619999999999"/>
    <n v="309.13099999999997"/>
    <n v="25.25"/>
    <n v="16335.121999999999"/>
    <n v="8.3000000000000001E-3"/>
    <n v="0.26900000000000002"/>
    <n v="400.53199999999998"/>
    <n v="32.716000000000001"/>
    <n v="4.0099999999999997E-2"/>
    <n v="0.34490000000000004"/>
    <n v="145.494"/>
    <n v="45.59"/>
    <n v="0.08"/>
    <n v="5.4669999999999996E-2"/>
    <n v="7.5129999999999999"/>
    <n v="558"/>
    <n v="1"/>
    <n v="1781.252"/>
    <n v="7.2400000000000006E-2"/>
    <n v="1.2999999999999999E-4"/>
    <n v="3.7610000000000005E-2"/>
    <n v="7709.1750000000002"/>
    <n v="3868.5169999999998"/>
    <n v="2.724E-2"/>
    <n v="19.012"/>
    <n v="466.67"/>
    <n v="1860.2950000000001"/>
    <n v="151.94999999999999"/>
    <n v="5713.3549999999996"/>
    <n v="0.24131"/>
    <n v="0.12063"/>
    <n v="0.14496999999999999"/>
    <n v="10.125"/>
    <n v="83.454999999999998"/>
    <n v="374.875"/>
    <n v="30.62"/>
    <n v="1021.724"/>
    <n v="4.8630000000000007E-2"/>
    <n v="2.1569999999999999E-2"/>
    <n v="2.0449999999999999E-2"/>
    <n v="2.0270000000000001"/>
    <n v="143.72999999999999"/>
    <n v="646"/>
    <n v="52.74"/>
    <n v="1759.664"/>
    <n v="8.3760000000000001E-2"/>
    <n v="3.7149999999999996E-2"/>
  </r>
  <r>
    <x v="0"/>
    <x v="21"/>
    <s v="FRA"/>
    <n v="63588496"/>
    <n v="2437822808064"/>
    <n v="2437822.8080640002"/>
    <n v="7.8310000000000005E-2"/>
    <n v="2.3580000000000001"/>
    <n v="510.54199999999997"/>
    <n v="32.465000000000003"/>
    <n v="94"/>
    <n v="5.99"/>
    <n v="1.0580000000000001E-2"/>
    <n v="1.1610000000000001E-2"/>
    <n v="52.148000000000003"/>
    <n v="-0.26623000000000002"/>
    <n v="-38.896999999999998"/>
    <n v="1685.961"/>
    <n v="107.208"/>
    <n v="177.07599999999999"/>
    <n v="11.26"/>
    <m/>
    <n v="0"/>
    <n v="0"/>
    <n v="0"/>
    <n v="1.9879999999999998E-2"/>
    <n v="3.8330000000000003E-2"/>
    <n v="499.08"/>
    <n v="566.27"/>
    <n v="0.29209000000000002"/>
    <n v="-4.3529999999999999E-2"/>
    <n v="-127.30200000000001"/>
    <n v="43983.483999999997"/>
    <n v="1.147"/>
    <n v="-9.3000000000000013E-2"/>
    <n v="-141.06399999999999"/>
    <n v="562.36599999999999"/>
    <n v="35.76"/>
    <n v="21634.684000000001"/>
    <n v="1375.7170000000001"/>
    <n v="6.3149999999999998E-2"/>
    <n v="0.49188000000000004"/>
    <n v="-0.16025999999999999"/>
    <n v="-72.347999999999999"/>
    <n v="379.084"/>
    <n v="207"/>
    <n v="13.16"/>
    <n v="5961.5110000000004"/>
    <n v="-0.94739999999999991"/>
    <n v="-3.5449999999999999"/>
    <n v="3.0950000000000002"/>
    <n v="0.19700000000000001"/>
    <n v="2.3239999999999997E-2"/>
    <n v="0.13553999999999999"/>
    <n v="29.53"/>
    <n v="-0.11312"/>
    <n v="-22.866"/>
    <n v="170.209"/>
    <n v="1002.854"/>
    <n v="63.77"/>
    <n v="2676.7289999999998"/>
    <n v="0.11260999999999999"/>
    <n v="6.0860000000000004E-2"/>
    <n v="1.813E-2"/>
    <n v="13.762"/>
    <n v="1421.126"/>
    <n v="8342.8610000000008"/>
    <n v="530.51"/>
    <n v="22348.798999999999"/>
    <n v="0.93685000000000007"/>
    <n v="0.50812000000000002"/>
    <n v="-67.19"/>
    <n v="-0.13463"/>
    <n v="3.0200000000000001E-2"/>
    <n v="26.626000000000001"/>
    <n v="1134.6880000000001"/>
    <n v="6864"/>
    <n v="436"/>
    <n v="17844.234"/>
    <n v="0.77"/>
    <n v="0.40570000000000001"/>
    <n v="-3.2440000000000004E-2"/>
    <n v="-29.818999999999999"/>
    <n v="889.42600000000004"/>
    <n v="178.334"/>
    <n v="11.34"/>
    <n v="13987.212"/>
    <n v="-3.9750000000000001E-2"/>
    <n v="-0.41799999999999998"/>
    <n v="158.941"/>
    <n v="10.106999999999999"/>
    <n v="2.0030000000000003E-2"/>
    <n v="0.31800999999999996"/>
    <n v="21.012"/>
    <n v="6.55"/>
    <n v="0.56000000000000005"/>
    <n v="7.961E-2"/>
    <n v="1.55"/>
    <n v="103"/>
    <n v="9"/>
    <n v="330.43799999999999"/>
    <n v="1.157E-2"/>
    <n v="9.8999999999999999E-4"/>
    <n v="7.5100000000000002E-3"/>
    <n v="8905.2279999999992"/>
    <n v="2796.8440000000001"/>
    <n v="-2.1869999999999997E-2"/>
    <n v="-12.863"/>
    <n v="286.43799999999999"/>
    <n v="1478.7270000000001"/>
    <n v="94.03"/>
    <n v="4504.5640000000003"/>
    <n v="0.16605"/>
    <n v="0.10241"/>
    <n v="0.24908999999999998"/>
    <n v="3.117"/>
    <n v="16.02"/>
    <n v="100.49"/>
    <n v="6.39"/>
    <n v="251.935"/>
    <n v="1.1279999999999998E-2"/>
    <n v="5.7299999999999999E-3"/>
    <n v="7.4490000000000001E-2"/>
    <n v="2.9780000000000002"/>
    <n v="46.731999999999999"/>
    <n v="272"/>
    <n v="17.32"/>
    <n v="734.92"/>
    <n v="3.0590000000000003E-2"/>
    <n v="1.6709999999999999E-2"/>
  </r>
  <r>
    <x v="1"/>
    <x v="21"/>
    <s v="DEU"/>
    <n v="81858824"/>
    <n v="3574741336064"/>
    <n v="3574741.3360640001"/>
    <n v="4.8520000000000001E-2"/>
    <n v="1.5189999999999999"/>
    <n v="401.07299999999998"/>
    <n v="32.831000000000003"/>
    <n v="590"/>
    <n v="48.29"/>
    <n v="7.8039999999999998E-2"/>
    <n v="8.8500000000000002E-3"/>
    <n v="521.68100000000004"/>
    <n v="-3.8929999999999999E-2"/>
    <n v="-37.503999999999998"/>
    <n v="11310.875"/>
    <n v="925.89499999999998"/>
    <n v="3352.2350000000001"/>
    <n v="274.41000000000003"/>
    <n v="-2.188E-2"/>
    <n v="-11.48"/>
    <n v="6270.2650000000003"/>
    <n v="513.27599999999995"/>
    <n v="0.44348999999999994"/>
    <n v="0.24954000000000001"/>
    <n v="584.87"/>
    <n v="618.75"/>
    <n v="0.19009000000000001"/>
    <n v="-4.086E-2"/>
    <n v="-158.05199999999999"/>
    <n v="45327.605000000003"/>
    <n v="1.038"/>
    <n v="-5.8540000000000002E-2"/>
    <n v="-184.24100000000001"/>
    <n v="4394.0280000000002"/>
    <n v="359.69"/>
    <n v="36198.457000000002"/>
    <n v="2963.163"/>
    <n v="0.58131999999999995"/>
    <n v="0.79859999999999998"/>
    <n v="-0.13038"/>
    <n v="-110.79300000000001"/>
    <n v="738.95"/>
    <n v="740"/>
    <n v="60.61"/>
    <n v="9027.1309999999994"/>
    <n v="-6.0599999999999994E-2"/>
    <n v="-5.2140000000000004"/>
    <n v="987.4"/>
    <n v="80.826999999999998"/>
    <n v="9.7959999999999992E-2"/>
    <n v="0.19914999999999999"/>
    <n v="322.79000000000002"/>
    <n v="-0.14832000000000001"/>
    <n v="-9.6159999999999997"/>
    <n v="53.063000000000002"/>
    <n v="239.31399999999999"/>
    <n v="19.59"/>
    <n v="648.22699999999998"/>
    <n v="3.1660000000000001E-2"/>
    <n v="1.43E-2"/>
    <n v="4.0379999999999999E-2"/>
    <n v="26.189"/>
    <n v="747.30100000000004"/>
    <n v="3164.7170000000001"/>
    <n v="259.06"/>
    <n v="9129.1479999999992"/>
    <n v="0.41868"/>
    <n v="0.2014"/>
    <n v="-33.880000000000003"/>
    <n v="-5.7930000000000002E-2"/>
    <n v="-1.65E-3"/>
    <n v="-1.9419999999999999"/>
    <n v="252.5"/>
    <n v="1187"/>
    <n v="97"/>
    <n v="3084.5830000000001"/>
    <n v="0.16"/>
    <n v="6.8049999999999999E-2"/>
    <n v="-2.6939999999999999E-2"/>
    <n v="-35.944000000000003"/>
    <n v="1298.318"/>
    <n v="301.37200000000001"/>
    <n v="24.67"/>
    <n v="15860.451999999999"/>
    <n v="-6.7419999999999994E-2"/>
    <n v="-2.206"/>
    <n v="372.71300000000002"/>
    <n v="30.51"/>
    <n v="3.9870000000000003E-2"/>
    <n v="0.34991"/>
    <n v="154.4"/>
    <n v="48.39"/>
    <n v="0.1"/>
    <n v="6.1280000000000001E-2"/>
    <n v="8.907"/>
    <n v="591"/>
    <n v="1"/>
    <n v="1886.1790000000001"/>
    <n v="7.8210000000000002E-2"/>
    <n v="1.6000000000000001E-4"/>
    <n v="4.1609999999999994E-2"/>
    <n v="7558.7460000000001"/>
    <n v="3710.4650000000001"/>
    <n v="6.2689999999999996E-2"/>
    <n v="28.131"/>
    <n v="494.80099999999999"/>
    <n v="1978.162"/>
    <n v="161.93"/>
    <n v="6044.5649999999996"/>
    <n v="0.26171"/>
    <n v="0.13335"/>
    <n v="0.15764"/>
    <n v="12.577"/>
    <n v="96.031999999999996"/>
    <n v="433.06299999999999"/>
    <n v="35.450000000000003"/>
    <n v="1173.143"/>
    <n v="5.7290000000000001E-2"/>
    <n v="2.588E-2"/>
    <n v="0.10922000000000001"/>
    <n v="14.744"/>
    <n v="158.47399999999999"/>
    <n v="715"/>
    <n v="58.5"/>
    <n v="1935.944"/>
    <n v="9.4549999999999995E-2"/>
    <n v="4.2709999999999998E-2"/>
  </r>
  <r>
    <x v="0"/>
    <x v="22"/>
    <s v="FRA"/>
    <n v="63809768"/>
    <n v="2464953663488"/>
    <n v="2464953.6634880002"/>
    <n v="8.7299999999999999E-3"/>
    <n v="0.28299999999999997"/>
    <n v="513.21100000000001"/>
    <n v="32.747999999999998"/>
    <n v="102"/>
    <n v="6.53"/>
    <n v="1.137E-2"/>
    <n v="1.1599999999999999E-2"/>
    <n v="59.118000000000002"/>
    <n v="-4.5970000000000004E-2"/>
    <n v="-4.9279999999999999"/>
    <n v="1602.8869999999999"/>
    <n v="102.28"/>
    <n v="186.33500000000001"/>
    <n v="11.89"/>
    <m/>
    <n v="0"/>
    <n v="0"/>
    <n v="0"/>
    <n v="2.0710000000000003E-2"/>
    <n v="3.6240000000000001E-2"/>
    <n v="510.05"/>
    <n v="574.11"/>
    <n v="0.29077000000000003"/>
    <n v="9.0900000000000009E-3"/>
    <n v="25.428999999999998"/>
    <n v="44229.48"/>
    <n v="1.145"/>
    <n v="2.6699999999999998E-2"/>
    <n v="36.735999999999997"/>
    <n v="702.71400000000006"/>
    <n v="44.84"/>
    <n v="22135.375"/>
    <n v="1412.453"/>
    <n v="7.8100000000000003E-2"/>
    <n v="0.50046999999999997"/>
    <n v="7.5010000000000007E-2"/>
    <n v="28.434000000000001"/>
    <n v="407.51799999999997"/>
    <n v="331"/>
    <n v="21.14"/>
    <n v="6386.4459999999999"/>
    <n v="0.25719000000000003"/>
    <n v="5.0999999999999997E-2"/>
    <n v="3.8780000000000001"/>
    <n v="0.247"/>
    <n v="3.6819999999999999E-2"/>
    <n v="0.14438999999999999"/>
    <n v="33.94"/>
    <n v="-0.13166"/>
    <n v="-23.289000000000001"/>
    <n v="146.91999999999999"/>
    <n v="870.71299999999997"/>
    <n v="55.56"/>
    <n v="2302.4749999999999"/>
    <n v="9.6780000000000005E-2"/>
    <n v="5.2060000000000002E-2"/>
    <n v="-1.8799999999999999E-3"/>
    <n v="-11.307"/>
    <n v="1409.82"/>
    <n v="8294.4979999999996"/>
    <n v="529.27"/>
    <n v="22094.103999999999"/>
    <n v="0.92189999999999994"/>
    <n v="0.49953000000000003"/>
    <n v="-64.06"/>
    <n v="-0.12560000000000002"/>
    <n v="2.1700000000000001E-3"/>
    <n v="-4.3019999999999996"/>
    <n v="1130.386"/>
    <n v="6855"/>
    <n v="437"/>
    <n v="17714.934000000001"/>
    <n v="0.76"/>
    <n v="0.40051999999999999"/>
    <n v="1.4870000000000001E-2"/>
    <n v="13.23"/>
    <n v="902.65599999999995"/>
    <n v="185.08099999999999"/>
    <n v="11.81"/>
    <n v="14146.043"/>
    <n v="5.5079999999999997E-2"/>
    <n v="0.55700000000000005"/>
    <n v="167.114"/>
    <n v="10.664"/>
    <n v="2.0569999999999998E-2"/>
    <n v="0.31983"/>
    <n v="22.710999999999999"/>
    <n v="7.11"/>
    <n v="0.57999999999999996"/>
    <n v="8.0839999999999995E-2"/>
    <n v="1.6990000000000001"/>
    <n v="111"/>
    <n v="9"/>
    <n v="355.91300000000001"/>
    <n v="1.238E-2"/>
    <n v="1.01E-3"/>
    <n v="8.0499999999999999E-3"/>
    <n v="8997.2119999999995"/>
    <n v="2822.2730000000001"/>
    <n v="-1.6049999999999998E-2"/>
    <n v="-7.0049999999999999"/>
    <n v="279.43400000000003"/>
    <n v="1439.278"/>
    <n v="91.84"/>
    <n v="4379.1710000000003"/>
    <n v="0.15997"/>
    <n v="9.9010000000000001E-2"/>
    <n v="0.22824000000000003"/>
    <n v="3.5390000000000001"/>
    <n v="19.559000000000001"/>
    <n v="121.455"/>
    <n v="7.75"/>
    <n v="306.52800000000002"/>
    <n v="1.3500000000000002E-2"/>
    <n v="6.9299999999999995E-3"/>
    <n v="0.23768"/>
    <n v="10.763"/>
    <n v="57.494999999999997"/>
    <n v="336"/>
    <n v="21.42"/>
    <n v="901.04399999999998"/>
    <n v="3.7309999999999996E-2"/>
    <n v="2.0369999999999999E-2"/>
  </r>
  <r>
    <x v="1"/>
    <x v="22"/>
    <s v="DEU"/>
    <n v="82073232"/>
    <n v="3628073746432"/>
    <n v="3628073.7464319998"/>
    <n v="-6.2539999999999998E-2"/>
    <n v="-2.0529999999999999"/>
    <n v="375.00900000000001"/>
    <n v="30.777999999999999"/>
    <n v="613"/>
    <n v="50.33"/>
    <n v="7.8739999999999991E-2"/>
    <n v="8.1399999999999997E-3"/>
    <n v="503.59100000000001"/>
    <n v="-1.171E-2"/>
    <n v="-10.839"/>
    <n v="11149.26"/>
    <n v="915.05600000000004"/>
    <n v="3316.55"/>
    <n v="272.2"/>
    <n v="-2.9940000000000001E-2"/>
    <n v="-15.367000000000001"/>
    <n v="6066.6480000000001"/>
    <n v="497.90899999999999"/>
    <n v="0.42585999999999996"/>
    <n v="0.24202000000000001"/>
    <n v="590.89"/>
    <n v="639.16999999999996"/>
    <n v="0.19417000000000001"/>
    <n v="1.8970000000000001E-2"/>
    <n v="70.394999999999996"/>
    <n v="46066.906000000003"/>
    <n v="1.042"/>
    <n v="6.0599999999999994E-3"/>
    <n v="17.971"/>
    <n v="4377.0659999999998"/>
    <n v="359.24"/>
    <n v="36322.855000000003"/>
    <n v="2981.134"/>
    <n v="0.56203999999999998"/>
    <n v="0.78847999999999996"/>
    <n v="4.1390000000000003E-2"/>
    <n v="30.585999999999999"/>
    <n v="769.53599999999994"/>
    <n v="749"/>
    <n v="61.47"/>
    <n v="9376.2129999999997"/>
    <n v="-6.9070000000000006E-2"/>
    <n v="-5.5830000000000002"/>
    <n v="916.79499999999996"/>
    <n v="75.244"/>
    <n v="9.6170000000000005E-2"/>
    <n v="0.20353000000000002"/>
    <n v="321.88"/>
    <n v="-3.1139999999999998E-2"/>
    <n v="-1.9590000000000001"/>
    <n v="51.104999999999997"/>
    <n v="231.25700000000001"/>
    <n v="18.98"/>
    <n v="622.66999999999996"/>
    <n v="2.9689999999999998E-2"/>
    <n v="1.3520000000000001E-2"/>
    <n v="6.4489999999999992E-2"/>
    <n v="52.423999999999999"/>
    <n v="799.726"/>
    <n v="3410.7339999999999"/>
    <n v="279.93"/>
    <n v="9744.0490000000009"/>
    <n v="0.43796000000000002"/>
    <n v="0.21152000000000001"/>
    <n v="-48.28"/>
    <n v="-8.1709999999999991E-2"/>
    <n v="-5.5010000000000003E-2"/>
    <n v="-15.308999999999999"/>
    <n v="237.191"/>
    <n v="1118"/>
    <n v="92"/>
    <n v="2889.9920000000002"/>
    <n v="0.14000000000000001"/>
    <n v="6.2729999999999994E-2"/>
    <n v="-1.3700000000000001E-3"/>
    <n v="-1.776"/>
    <n v="1296.5419999999999"/>
    <n v="311.55099999999999"/>
    <n v="25.57"/>
    <n v="15797.383"/>
    <n v="-5.0999999999999993E-4"/>
    <n v="-1.6E-2"/>
    <n v="371.548"/>
    <n v="30.494"/>
    <n v="4.0010000000000004E-2"/>
    <n v="0.34292"/>
    <n v="160.99600000000001"/>
    <n v="50.46"/>
    <n v="0.13"/>
    <n v="4.2849999999999999E-2"/>
    <n v="6.5960000000000001"/>
    <n v="615"/>
    <n v="2"/>
    <n v="1961.616"/>
    <n v="7.8949999999999992E-2"/>
    <n v="2.0000000000000001E-4"/>
    <n v="4.258E-2"/>
    <n v="7787.8010000000004"/>
    <n v="3780.86"/>
    <n v="0.12408"/>
    <n v="67.733999999999995"/>
    <n v="562.53499999999997"/>
    <n v="2292.3429999999998"/>
    <n v="188.14"/>
    <n v="6854.0569999999998"/>
    <n v="0.29435"/>
    <n v="0.14878"/>
    <n v="7.4139999999999998E-2"/>
    <n v="6.5060000000000002"/>
    <n v="102.538"/>
    <n v="463.976"/>
    <n v="38.08"/>
    <n v="1249.3430000000001"/>
    <n v="5.9580000000000001E-2"/>
    <n v="2.7120000000000002E-2"/>
    <n v="0.37825999999999999"/>
    <n v="58.643999999999998"/>
    <n v="217.11799999999999"/>
    <n v="982"/>
    <n v="80.62"/>
    <n v="2645.42"/>
    <n v="0.12612999999999999"/>
    <n v="5.7430000000000002E-2"/>
  </r>
  <r>
    <x v="0"/>
    <x v="23"/>
    <s v="FRA"/>
    <n v="63989320"/>
    <n v="2491956330496"/>
    <n v="2491956.3304960001"/>
    <n v="6.0499999999999998E-3"/>
    <n v="0.19800000000000001"/>
    <n v="514.86800000000005"/>
    <n v="32.945999999999998"/>
    <n v="118"/>
    <n v="7.52"/>
    <n v="1.3460000000000001E-2"/>
    <n v="1.191E-2"/>
    <n v="68.558000000000007"/>
    <n v="-2.7040000000000002E-2"/>
    <n v="-2.766"/>
    <n v="1555.164"/>
    <n v="99.513999999999996"/>
    <n v="159.87"/>
    <n v="10.23"/>
    <m/>
    <n v="0"/>
    <n v="0"/>
    <n v="0"/>
    <n v="1.831E-2"/>
    <n v="3.5979999999999998E-2"/>
    <n v="517.29999999999995"/>
    <n v="558.79999999999995"/>
    <n v="0.28394999999999998"/>
    <n v="-2.0129999999999999E-2"/>
    <n v="-56.82"/>
    <n v="43217.41"/>
    <n v="1.1100000000000001"/>
    <n v="1.4410000000000001E-2"/>
    <n v="20.358000000000001"/>
    <n v="884.52300000000002"/>
    <n v="56.6"/>
    <n v="22391.416000000001"/>
    <n v="1432.8119999999999"/>
    <n v="0.10128999999999999"/>
    <n v="0.51810999999999996"/>
    <n v="9.2710000000000015E-2"/>
    <n v="37.781999999999996"/>
    <n v="445.29899999999998"/>
    <n v="546"/>
    <n v="34.97"/>
    <n v="6958.9639999999999"/>
    <n v="-4.7619999999999996E-2"/>
    <n v="-1.2E-2"/>
    <n v="3.6829999999999998"/>
    <n v="0.23599999999999999"/>
    <n v="6.2579999999999997E-2"/>
    <n v="0.16102"/>
    <n v="38.31"/>
    <n v="9.8360000000000003E-2"/>
    <n v="13.497"/>
    <n v="160.417"/>
    <n v="950.78399999999999"/>
    <n v="60.84"/>
    <n v="2506.9380000000001"/>
    <n v="0.10888"/>
    <n v="5.8009999999999999E-2"/>
    <n v="-4.8550000000000003E-2"/>
    <n v="-77.179000000000002"/>
    <n v="1332.6410000000001"/>
    <n v="7848.1850000000004"/>
    <n v="502.2"/>
    <n v="20825.988000000001"/>
    <n v="0.8987099999999999"/>
    <n v="0.48188999999999999"/>
    <n v="-41.5"/>
    <n v="-8.022E-2"/>
    <n v="-7.8259999999999996E-2"/>
    <n v="-94.626999999999995"/>
    <n v="1035.759"/>
    <n v="6301"/>
    <n v="403"/>
    <n v="16186.429"/>
    <n v="0.72"/>
    <n v="0.37453000000000003"/>
    <n v="-1.6240000000000001E-2"/>
    <n v="-14.657"/>
    <n v="887.99800000000005"/>
    <n v="178.155"/>
    <n v="11.4"/>
    <n v="13877.288"/>
    <n v="-1.222E-2"/>
    <n v="-0.13"/>
    <n v="164.60900000000001"/>
    <n v="10.532999999999999"/>
    <n v="2.0400000000000001E-2"/>
    <n v="0.3211"/>
    <n v="24.619"/>
    <n v="8.1199999999999992"/>
    <n v="0.6"/>
    <n v="8.4139999999999993E-2"/>
    <n v="1.9079999999999999"/>
    <n v="127"/>
    <n v="9"/>
    <n v="384.73500000000001"/>
    <n v="1.4530000000000001E-2"/>
    <n v="1.07E-3"/>
    <n v="8.8999999999999999E-3"/>
    <n v="8732.7070000000003"/>
    <n v="2765.453"/>
    <n v="5.7079999999999999E-2"/>
    <n v="17.448"/>
    <n v="296.88200000000001"/>
    <n v="1547.133"/>
    <n v="99"/>
    <n v="4639.5609999999997"/>
    <n v="0.17716999999999999"/>
    <n v="0.10735"/>
    <n v="0.12416000000000001"/>
    <n v="2.298"/>
    <n v="21.858000000000001"/>
    <n v="135.33500000000001"/>
    <n v="8.66"/>
    <n v="341.58600000000001"/>
    <n v="1.55E-2"/>
    <n v="7.9000000000000008E-3"/>
    <n v="-1.98E-3"/>
    <n v="-0.45300000000000001"/>
    <n v="57.042000000000002"/>
    <n v="334"/>
    <n v="21.38"/>
    <n v="891.43399999999997"/>
    <n v="3.8260000000000002E-2"/>
    <n v="2.0630000000000003E-2"/>
  </r>
  <r>
    <x v="1"/>
    <x v="23"/>
    <s v="DEU"/>
    <n v="82331432"/>
    <n v="3708980035584"/>
    <n v="3708980.0355839999"/>
    <n v="2.3499999999999997E-3"/>
    <n v="7.1999999999999995E-2"/>
    <n v="374.71300000000002"/>
    <n v="30.850999999999999"/>
    <n v="619"/>
    <n v="50.93"/>
    <n v="7.9390000000000002E-2"/>
    <n v="8.0300000000000007E-3"/>
    <n v="498.30099999999999"/>
    <n v="-2.7450000000000002E-2"/>
    <n v="-25.120999999999999"/>
    <n v="10809.177"/>
    <n v="889.93499999999995"/>
    <n v="3179.223"/>
    <n v="261.75"/>
    <n v="-7.4179999999999996E-2"/>
    <n v="-36.936999999999998"/>
    <n v="5598.982"/>
    <n v="460.97199999999998"/>
    <n v="0.40801999999999999"/>
    <n v="0.23167000000000001"/>
    <n v="591"/>
    <n v="641.52"/>
    <n v="0.19062999999999999"/>
    <n v="1.6029999999999999E-2"/>
    <n v="60.591000000000001"/>
    <n v="46658.379000000001"/>
    <n v="1.036"/>
    <n v="2.6680000000000002E-2"/>
    <n v="79.527000000000001"/>
    <n v="4466.8239999999996"/>
    <n v="367.76"/>
    <n v="37174.879000000001"/>
    <n v="3060.6610000000001"/>
    <n v="0.57325999999999999"/>
    <n v="0.79674999999999996"/>
    <n v="0.10305999999999998"/>
    <n v="79.311000000000007"/>
    <n v="848.84699999999998"/>
    <n v="979"/>
    <n v="80.62"/>
    <n v="10310.126"/>
    <n v="-7.9930000000000001E-2"/>
    <n v="-6.0140000000000002"/>
    <n v="840.875"/>
    <n v="69.23"/>
    <n v="0.12567"/>
    <n v="0.22097"/>
    <n v="319.67"/>
    <n v="8.2680000000000003E-2"/>
    <n v="3.8980000000000001"/>
    <n v="55.002000000000002"/>
    <n v="249.601"/>
    <n v="20.55"/>
    <n v="668.06100000000004"/>
    <n v="3.2029999999999996E-2"/>
    <n v="1.4319999999999999E-2"/>
    <n v="-1.959E-2"/>
    <n v="-18.934999999999999"/>
    <n v="780.79"/>
    <n v="3325.0970000000002"/>
    <n v="273.76"/>
    <n v="9483.5010000000002"/>
    <n v="0.42674000000000001"/>
    <n v="0.20324999999999999"/>
    <n v="-50.52"/>
    <n v="-8.548E-2"/>
    <n v="-7.7920000000000003E-2"/>
    <n v="-19.776"/>
    <n v="217.41499999999999"/>
    <n v="1028"/>
    <n v="85"/>
    <n v="2640.73"/>
    <n v="0.13"/>
    <n v="5.6600000000000004E-2"/>
    <n v="1.9539999999999998E-2"/>
    <n v="25.335999999999999"/>
    <n v="1321.8789999999999"/>
    <n v="308.38799999999998"/>
    <n v="25.39"/>
    <n v="16055.575999999999"/>
    <n v="-2.8050000000000002E-2"/>
    <n v="-0.85499999999999998"/>
    <n v="359.99599999999998"/>
    <n v="29.638999999999999"/>
    <n v="3.9580000000000004E-2"/>
    <n v="0.34411000000000003"/>
    <n v="163.024"/>
    <n v="51.1"/>
    <n v="0.17"/>
    <n v="1.2760000000000001E-2"/>
    <n v="2.028"/>
    <n v="621"/>
    <n v="2"/>
    <n v="1980.0909999999999"/>
    <n v="7.9649999999999999E-2"/>
    <n v="2.5999999999999998E-4"/>
    <n v="4.2439999999999999E-2"/>
    <n v="7791.9210000000003"/>
    <n v="3841.451"/>
    <n v="4.8700000000000002E-3"/>
    <n v="0.84099999999999997"/>
    <n v="563.375"/>
    <n v="2297.1779999999999"/>
    <n v="189.13"/>
    <n v="6842.7709999999997"/>
    <n v="0.29481999999999997"/>
    <n v="0.14666000000000001"/>
    <n v="-1.366E-2"/>
    <n v="-1.9990000000000001"/>
    <n v="100.539"/>
    <n v="456.20499999999998"/>
    <n v="37.56"/>
    <n v="1221.1469999999999"/>
    <n v="5.8550000000000005E-2"/>
    <n v="2.6169999999999999E-2"/>
    <n v="-8.6800000000000002E-3"/>
    <n v="-3.1589999999999998"/>
    <n v="213.96"/>
    <n v="971"/>
    <n v="79.92"/>
    <n v="2598.759"/>
    <n v="0.12458"/>
    <n v="5.57E-2"/>
  </r>
  <r>
    <x v="0"/>
    <x v="24"/>
    <s v="FRA"/>
    <n v="64144092"/>
    <n v="2549057585152"/>
    <n v="2549057.5851520002"/>
    <n v="7.8100000000000001E-3"/>
    <n v="0.25700000000000001"/>
    <n v="517.63900000000001"/>
    <n v="33.204000000000001"/>
    <n v="121"/>
    <n v="7.78"/>
    <n v="1.3979999999999999E-2"/>
    <n v="1.205E-2"/>
    <n v="78.213999999999999"/>
    <n v="9.579E-2"/>
    <n v="9.532"/>
    <n v="1700.019"/>
    <n v="109.04600000000001"/>
    <n v="199.70699999999999"/>
    <n v="12.81"/>
    <m/>
    <m/>
    <m/>
    <m/>
    <n v="2.3019999999999999E-2"/>
    <n v="3.9580000000000004E-2"/>
    <n v="516.29"/>
    <n v="556.41999999999996"/>
    <n v="0.28068000000000004"/>
    <n v="-3.81E-3"/>
    <n v="-10.532999999999999"/>
    <n v="42948.913999999997"/>
    <n v="1.081"/>
    <n v="1.7739999999999999E-2"/>
    <n v="25.419"/>
    <n v="1020.047"/>
    <n v="65.430000000000007"/>
    <n v="22733.664000000001"/>
    <n v="1458.23"/>
    <n v="0.11759"/>
    <n v="0.52932000000000001"/>
    <n v="5.2900000000000004E-3"/>
    <n v="2.3580000000000001"/>
    <n v="447.65699999999998"/>
    <n v="631"/>
    <n v="40.5"/>
    <n v="6978.9269999999997"/>
    <m/>
    <m/>
    <m/>
    <m/>
    <n v="7.2789999999999994E-2"/>
    <n v="0.16249"/>
    <n v="43.52"/>
    <n v="-0.18288000000000001"/>
    <n v="-30.109000000000002"/>
    <n v="130.309"/>
    <n v="779.495"/>
    <n v="50"/>
    <n v="2031.498"/>
    <n v="8.9860000000000009E-2"/>
    <n v="4.7300000000000002E-2"/>
    <n v="-2.0310000000000002E-2"/>
    <n v="-35.951999999999998"/>
    <n v="1296.6890000000001"/>
    <n v="7654.4849999999997"/>
    <n v="490.99"/>
    <n v="20215.25"/>
    <n v="0.88241000000000003"/>
    <n v="0.47067999999999999"/>
    <n v="-40.130000000000003"/>
    <n v="-7.7729999999999994E-2"/>
    <n v="-1.2E-2"/>
    <n v="-18.443999999999999"/>
    <n v="1017.3150000000001"/>
    <n v="6210"/>
    <n v="398"/>
    <n v="15859.839"/>
    <n v="0.72"/>
    <n v="0.36926999999999999"/>
    <n v="1.524E-2"/>
    <n v="13.529"/>
    <n v="901.52700000000004"/>
    <n v="188.95"/>
    <n v="12.12"/>
    <n v="14054.717000000001"/>
    <m/>
    <m/>
    <m/>
    <m/>
    <n v="2.1780000000000001E-2"/>
    <n v="0.32723999999999998"/>
    <n v="26.318999999999999"/>
    <n v="8.43"/>
    <n v="0.65"/>
    <n v="6.9169999999999995E-2"/>
    <n v="1.7"/>
    <n v="131"/>
    <n v="10"/>
    <n v="410.31299999999999"/>
    <n v="1.5149999999999999E-2"/>
    <n v="1.17E-3"/>
    <n v="9.5499999999999995E-3"/>
    <n v="8674.5319999999992"/>
    <n v="2754.9189999999999"/>
    <n v="-4.6089999999999999E-2"/>
    <n v="-17.507999999999999"/>
    <n v="279.37400000000002"/>
    <n v="1444.0920000000001"/>
    <n v="92.63"/>
    <n v="4355.4110000000001"/>
    <n v="0.16646999999999998"/>
    <n v="0.10141"/>
    <n v="0.11484"/>
    <n v="2.367"/>
    <n v="24.225000000000001"/>
    <n v="149.50700000000001"/>
    <n v="9.59"/>
    <n v="377.661"/>
    <n v="1.7239999999999998E-2"/>
    <n v="8.7899999999999992E-3"/>
    <n v="0.15185999999999999"/>
    <n v="8.2759999999999998"/>
    <n v="65.317999999999998"/>
    <n v="384"/>
    <n v="24.61"/>
    <n v="1018.299"/>
    <n v="4.4229999999999998E-2"/>
    <n v="2.3709999999999998E-2"/>
  </r>
  <r>
    <x v="1"/>
    <x v="24"/>
    <s v="DEU"/>
    <n v="82624368"/>
    <n v="3808389496832"/>
    <n v="3808389.4968320001"/>
    <n v="1.729E-2"/>
    <n v="0.53400000000000003"/>
    <n v="379.84100000000001"/>
    <n v="31.384"/>
    <n v="616"/>
    <n v="50.92"/>
    <n v="7.9009999999999997E-2"/>
    <n v="8.0700000000000008E-3"/>
    <n v="469.71100000000001"/>
    <n v="-6.0679999999999998E-2"/>
    <n v="-54.005000000000003"/>
    <n v="10117.228999999999"/>
    <n v="835.93"/>
    <n v="2919.962"/>
    <n v="241.26"/>
    <n v="-5.4800000000000005E-3"/>
    <n v="-2.528"/>
    <n v="5548.5389999999998"/>
    <n v="458.44400000000002"/>
    <n v="0.37436000000000003"/>
    <n v="0.215"/>
    <n v="592"/>
    <n v="644.46"/>
    <n v="0.19042999999999999"/>
    <n v="1.2150000000000001E-2"/>
    <n v="46.682000000000002"/>
    <n v="47057.949000000001"/>
    <n v="1.0209999999999999"/>
    <n v="5.0000000000000002E-5"/>
    <n v="0.16"/>
    <n v="4265.8119999999999"/>
    <n v="352.46"/>
    <n v="37045.012000000002"/>
    <n v="3060.8209999999999"/>
    <n v="0.54691000000000001"/>
    <n v="0.78721999999999992"/>
    <n v="3.3620000000000004E-2"/>
    <n v="28.536999999999999"/>
    <n v="877.38499999999999"/>
    <n v="1041"/>
    <n v="86.04"/>
    <n v="10618.958000000001"/>
    <n v="-7.8990000000000005E-2"/>
    <n v="-5.4690000000000003"/>
    <n v="771.70500000000004"/>
    <n v="63.762"/>
    <n v="0.13351000000000002"/>
    <n v="0.22566"/>
    <n v="302.70999999999998"/>
    <n v="-1.9269999999999999E-2"/>
    <n v="-1.377"/>
    <n v="53.625"/>
    <n v="243.875"/>
    <n v="20.149999999999999"/>
    <n v="649.02200000000005"/>
    <n v="3.1269999999999999E-2"/>
    <n v="1.379E-2"/>
    <n v="6.1650000000000003E-2"/>
    <n v="46.523000000000003"/>
    <n v="827.31299999999999"/>
    <n v="3534.0659999999998"/>
    <n v="292"/>
    <n v="10012.939"/>
    <n v="0.45308999999999999"/>
    <n v="0.21278"/>
    <n v="-52.46"/>
    <n v="-8.8610000000000008E-2"/>
    <n v="-9.8190000000000013E-2"/>
    <n v="-22.501000000000001"/>
    <n v="194.91399999999999"/>
    <n v="924"/>
    <n v="76"/>
    <n v="2359.0430000000001"/>
    <n v="0.12"/>
    <n v="5.0130000000000001E-2"/>
    <n v="1.9390000000000001E-2"/>
    <n v="25.628"/>
    <n v="1347.5060000000001"/>
    <n v="304.51100000000002"/>
    <n v="25.16"/>
    <n v="16308.822"/>
    <m/>
    <m/>
    <m/>
    <m/>
    <n v="3.9039999999999998E-2"/>
    <n v="0.34656999999999999"/>
    <n v="162.95500000000001"/>
    <n v="51.08"/>
    <n v="0.16"/>
    <n v="-4.4999999999999999E-4"/>
    <n v="-6.9000000000000006E-2"/>
    <n v="618"/>
    <n v="2"/>
    <n v="1972.241"/>
    <n v="7.9259999999999997E-2"/>
    <n v="2.5000000000000001E-4"/>
    <n v="4.1909999999999996E-2"/>
    <n v="7799.8789999999999"/>
    <n v="3888.1329999999998"/>
    <n v="0.12314"/>
    <n v="69.022999999999996"/>
    <n v="632.39800000000002"/>
    <n v="2610.3679999999999"/>
    <n v="215.68"/>
    <n v="7653.8959999999997"/>
    <n v="0.33466999999999997"/>
    <n v="0.16265000000000002"/>
    <n v="3.209E-2"/>
    <n v="2.6150000000000002"/>
    <n v="103.154"/>
    <n v="469.11099999999999"/>
    <n v="38.76"/>
    <n v="1248.473"/>
    <n v="6.0139999999999999E-2"/>
    <n v="2.6530000000000001E-2"/>
    <n v="0.32241999999999998"/>
    <n v="67.319999999999993"/>
    <n v="281.27999999999997"/>
    <n v="1279"/>
    <n v="105.69"/>
    <n v="3404.32"/>
    <n v="0.16399999999999998"/>
    <n v="7.2340000000000002E-2"/>
  </r>
  <r>
    <x v="0"/>
    <x v="25"/>
    <s v="FRA"/>
    <n v="64277812"/>
    <n v="2596599234560"/>
    <n v="2596599.2345599998"/>
    <n v="-1.137E-2"/>
    <n v="-0.378"/>
    <n v="510.68799999999999"/>
    <n v="32.826000000000001"/>
    <n v="130"/>
    <n v="8.3800000000000008"/>
    <n v="1.455E-2"/>
    <n v="1.1770000000000001E-2"/>
    <n v="59.938000000000002"/>
    <n v="-8.1079999999999999E-2"/>
    <n v="-8.8409999999999993"/>
    <n v="1558.932"/>
    <n v="100.205"/>
    <n v="129.28299999999999"/>
    <n v="8.31"/>
    <m/>
    <m/>
    <m/>
    <m/>
    <n v="1.443E-2"/>
    <n v="3.5929999999999997E-2"/>
    <n v="512.96"/>
    <n v="575.92999999999995"/>
    <n v="0.29271999999999998"/>
    <n v="1.2350000000000002E-2"/>
    <n v="34.036999999999999"/>
    <n v="43389.093999999997"/>
    <n v="1.0740000000000001"/>
    <n v="-3.4279999999999998E-2"/>
    <n v="-49.99"/>
    <n v="769.78399999999999"/>
    <n v="49.48"/>
    <n v="21908.648000000001"/>
    <n v="1408.24"/>
    <n v="8.5909999999999986E-2"/>
    <n v="0.50492999999999999"/>
    <n v="-4.3049999999999998E-2"/>
    <n v="-19.273"/>
    <n v="428.38400000000001"/>
    <n v="476"/>
    <n v="30.61"/>
    <n v="6664.5680000000002"/>
    <m/>
    <m/>
    <m/>
    <m/>
    <n v="5.3150000000000003E-2"/>
    <n v="0.15359999999999999"/>
    <n v="34.520000000000003"/>
    <n v="0.30535000000000001"/>
    <n v="38.795000000000002"/>
    <n v="169.10400000000001"/>
    <n v="1012.947"/>
    <n v="65.11"/>
    <n v="2630.8249999999998"/>
    <n v="0.11305"/>
    <n v="6.0629999999999996E-2"/>
    <n v="6.6549999999999998E-2"/>
    <n v="84.027000000000001"/>
    <n v="1380.7159999999999"/>
    <n v="8190.2290000000003"/>
    <n v="526.45000000000005"/>
    <n v="21480.447"/>
    <n v="0.91409000000000007"/>
    <n v="0.49506999999999995"/>
    <n v="-62.97"/>
    <n v="-0.12275999999999999"/>
    <n v="3.6610000000000004E-2"/>
    <n v="31.074000000000002"/>
    <n v="1048.3889999999999"/>
    <n v="6424"/>
    <n v="413"/>
    <n v="16310.272999999999"/>
    <n v="0.72"/>
    <n v="0.37591000000000002"/>
    <n v="-2.427E-2"/>
    <n v="-21.876000000000001"/>
    <n v="879.65099999999995"/>
    <n v="164.28700000000001"/>
    <n v="10.56"/>
    <n v="13685.147999999999"/>
    <m/>
    <m/>
    <m/>
    <m/>
    <n v="1.8340000000000002E-2"/>
    <n v="0.31541000000000002"/>
    <n v="27.588000000000001"/>
    <n v="8.99"/>
    <n v="0.61"/>
    <n v="4.8209999999999996E-2"/>
    <n v="1.2689999999999999"/>
    <n v="140"/>
    <n v="9"/>
    <n v="429.20100000000002"/>
    <n v="1.5609999999999999E-2"/>
    <n v="1.06E-3"/>
    <n v="9.8899999999999995E-3"/>
    <n v="8960.0120000000006"/>
    <n v="2788.9560000000001"/>
    <n v="0.16268999999999997"/>
    <n v="52.954000000000001"/>
    <n v="332.32799999999997"/>
    <n v="1765.9280000000001"/>
    <n v="113.51"/>
    <n v="5170.1750000000002"/>
    <n v="0.19708999999999999"/>
    <n v="0.11916"/>
    <n v="0.13461000000000001"/>
    <n v="3.1"/>
    <n v="27.324999999999999"/>
    <n v="168.17599999999999"/>
    <n v="10.81"/>
    <n v="425.10599999999999"/>
    <n v="1.8769999999999998E-2"/>
    <n v="9.7999999999999997E-3"/>
    <n v="0.16245000000000001"/>
    <n v="10.167"/>
    <n v="75.484999999999999"/>
    <n v="445"/>
    <n v="28.6"/>
    <n v="1174.354"/>
    <n v="4.9660000000000003E-2"/>
    <n v="2.7069999999999997E-2"/>
  </r>
  <r>
    <x v="1"/>
    <x v="25"/>
    <s v="DEU"/>
    <n v="82896696"/>
    <n v="3845758648320"/>
    <n v="3845758.6483200002"/>
    <n v="4.2500000000000003E-2"/>
    <n v="1.3340000000000001"/>
    <n v="394.68299999999999"/>
    <n v="32.718000000000004"/>
    <n v="613"/>
    <n v="50.79"/>
    <n v="8.0329999999999999E-2"/>
    <n v="8.6400000000000001E-3"/>
    <n v="454.54500000000002"/>
    <n v="-3.4980000000000004E-2"/>
    <n v="-29.24"/>
    <n v="9731.268"/>
    <n v="806.69"/>
    <n v="2752.3409999999999"/>
    <n v="228.16"/>
    <n v="-4.1520000000000001E-2"/>
    <n v="-19.036999999999999"/>
    <n v="5300.665"/>
    <n v="439.40800000000002"/>
    <n v="0.36085"/>
    <n v="0.21297999999999997"/>
    <n v="583.54"/>
    <n v="632.28"/>
    <n v="0.193"/>
    <n v="-2.5840000000000002E-2"/>
    <n v="-100.45099999999999"/>
    <n v="45691.597999999998"/>
    <n v="0.98499999999999999"/>
    <n v="-3.8019999999999998E-2"/>
    <n v="-116.384"/>
    <n v="4021.27"/>
    <n v="333.35"/>
    <n v="35519.347999999998"/>
    <n v="2944.4369999999999"/>
    <n v="0.52722000000000002"/>
    <n v="0.77736999999999989"/>
    <n v="-2.1520000000000001E-2"/>
    <n v="-18.878"/>
    <n v="858.50699999999995"/>
    <n v="984"/>
    <n v="81.56"/>
    <n v="10356.35"/>
    <n v="-0.13086"/>
    <n v="-8.3439999999999994"/>
    <n v="668.51599999999996"/>
    <n v="55.417999999999999"/>
    <n v="0.12898999999999999"/>
    <n v="0.22666"/>
    <n v="287.39999999999998"/>
    <n v="-0.12194000000000001"/>
    <n v="-6.8140000000000001"/>
    <n v="46.811"/>
    <n v="213.398"/>
    <n v="17.690000000000001"/>
    <n v="564.68899999999996"/>
    <n v="2.7980000000000001E-2"/>
    <n v="1.2359999999999999E-2"/>
    <n v="2.5559999999999999E-2"/>
    <n v="15.933"/>
    <n v="843.24599999999998"/>
    <n v="3606.0540000000001"/>
    <n v="298.93"/>
    <n v="10172.254000000001"/>
    <n v="0.47277999999999998"/>
    <n v="0.22263000000000002"/>
    <n v="-48.74"/>
    <n v="-8.3519999999999997E-2"/>
    <n v="-4.1900000000000001E-3"/>
    <n v="-1.9510000000000001"/>
    <n v="192.96299999999999"/>
    <n v="917"/>
    <n v="76"/>
    <n v="2327.7550000000001"/>
    <n v="0.12"/>
    <n v="5.0940000000000006E-2"/>
    <n v="-5.0659999999999997E-2"/>
    <n v="-68.266999999999996"/>
    <n v="1279.239"/>
    <n v="285.05399999999997"/>
    <n v="23.63"/>
    <n v="15431.727000000001"/>
    <m/>
    <m/>
    <m/>
    <m/>
    <n v="3.737E-2"/>
    <n v="0.33773999999999998"/>
    <n v="162.595"/>
    <n v="50.97"/>
    <n v="0.18"/>
    <n v="-2.1299999999999999E-3"/>
    <n v="-0.36"/>
    <n v="615"/>
    <n v="2"/>
    <n v="1961.421"/>
    <n v="8.0610000000000001E-2"/>
    <n v="2.8000000000000003E-4"/>
    <n v="4.2930000000000003E-2"/>
    <n v="7627.3249999999998"/>
    <n v="3787.6819999999998"/>
    <n v="3.4750000000000003E-2"/>
    <n v="17.885000000000002"/>
    <n v="650.28300000000002"/>
    <n v="2689.2510000000002"/>
    <n v="222.93"/>
    <n v="7844.5"/>
    <n v="0.35258"/>
    <n v="0.17168"/>
    <n v="0.14341999999999999"/>
    <n v="14.103999999999999"/>
    <n v="117.259"/>
    <n v="534.64099999999996"/>
    <n v="44.32"/>
    <n v="1414.5150000000001"/>
    <n v="7.0099999999999996E-2"/>
    <n v="3.0960000000000001E-2"/>
    <n v="4.0289999999999999E-2"/>
    <n v="9.6210000000000004"/>
    <n v="290.89999999999998"/>
    <n v="1326"/>
    <n v="109.95"/>
    <n v="3509.1909999999998"/>
    <n v="0.17388999999999999"/>
    <n v="7.6799999999999993E-2"/>
  </r>
  <r>
    <x v="0"/>
    <x v="26"/>
    <s v="FRA"/>
    <n v="64399760"/>
    <n v="2644453883904"/>
    <n v="2644453.8839039998"/>
    <n v="4.1299999999999996E-2"/>
    <n v="1.3560000000000001"/>
    <n v="530.77099999999996"/>
    <n v="34.182000000000002"/>
    <n v="134"/>
    <n v="8.64"/>
    <n v="1.5269999999999999E-2"/>
    <n v="1.252E-2"/>
    <n v="59.834000000000003"/>
    <n v="-0.20739000000000002"/>
    <n v="-20.782"/>
    <n v="1233.2819999999999"/>
    <n v="79.423000000000002"/>
    <n v="56.521999999999998"/>
    <n v="3.64"/>
    <m/>
    <m/>
    <m/>
    <m/>
    <n v="6.43E-3"/>
    <n v="2.9100000000000001E-2"/>
    <n v="508.06"/>
    <n v="565.73"/>
    <n v="0.29241"/>
    <n v="-2.1299999999999999E-2"/>
    <n v="-59.393999999999998"/>
    <n v="42384.667999999998"/>
    <n v="1.032"/>
    <n v="-1.406E-2"/>
    <n v="-19.798999999999999"/>
    <n v="833.23299999999995"/>
    <n v="53.66"/>
    <n v="21559.724999999999"/>
    <n v="1388.441"/>
    <n v="9.484999999999999E-2"/>
    <n v="0.50866999999999996"/>
    <n v="1.9230000000000001E-2"/>
    <n v="8.2370000000000001"/>
    <n v="436.62"/>
    <n v="610"/>
    <n v="39.31"/>
    <n v="6779.8450000000003"/>
    <m/>
    <m/>
    <m/>
    <m/>
    <n v="6.9489999999999996E-2"/>
    <n v="0.15995999999999999"/>
    <n v="33.85"/>
    <n v="-0.12340999999999999"/>
    <n v="-21.416"/>
    <n v="147.68799999999999"/>
    <n v="883.69899999999996"/>
    <n v="56.91"/>
    <n v="2293.2930000000001"/>
    <n v="0.10060000000000001"/>
    <n v="5.4109999999999998E-2"/>
    <n v="-2.3199999999999998E-2"/>
    <n v="-39.594999999999999"/>
    <n v="1341.1220000000001"/>
    <n v="7951.4269999999997"/>
    <n v="512.07000000000005"/>
    <n v="20824.947"/>
    <n v="0.90515000000000001"/>
    <n v="0.49133000000000004"/>
    <n v="-57.67"/>
    <n v="-0.11351000000000001"/>
    <n v="-3.3730000000000003E-2"/>
    <n v="-39.100999999999999"/>
    <n v="1009.287"/>
    <n v="6196"/>
    <n v="399"/>
    <n v="15672.221"/>
    <n v="0.71"/>
    <n v="0.36975999999999998"/>
    <n v="-8.2500000000000004E-3"/>
    <n v="-7.2539999999999996"/>
    <n v="872.39800000000002"/>
    <n v="166.30500000000001"/>
    <n v="10.71"/>
    <n v="13546.597"/>
    <m/>
    <m/>
    <m/>
    <m/>
    <n v="1.8929999999999999E-2"/>
    <n v="0.31961000000000001"/>
    <n v="28.016999999999999"/>
    <n v="9.25"/>
    <n v="0.61"/>
    <n v="1.5489999999999999E-2"/>
    <n v="0.42799999999999999"/>
    <n v="144"/>
    <n v="9"/>
    <n v="435.04199999999997"/>
    <n v="1.635E-2"/>
    <n v="1.08E-3"/>
    <n v="1.026E-2"/>
    <n v="8784.6589999999997"/>
    <n v="2729.5619999999999"/>
    <n v="6.9699999999999996E-3"/>
    <n v="-0.49299999999999999"/>
    <n v="331.834"/>
    <n v="1755.597"/>
    <n v="113.06"/>
    <n v="5152.7259999999997"/>
    <n v="0.19985"/>
    <n v="0.12157"/>
    <n v="0.1278"/>
    <n v="3.379"/>
    <n v="30.704000000000001"/>
    <n v="189.131"/>
    <n v="12.18"/>
    <n v="476.76400000000001"/>
    <n v="2.1530000000000001E-2"/>
    <n v="1.125E-2"/>
    <n v="0.21326000000000001"/>
    <n v="15.76"/>
    <n v="91.245000000000005"/>
    <n v="539"/>
    <n v="34.72"/>
    <n v="1416.855"/>
    <n v="6.1369999999999994E-2"/>
    <n v="3.3430000000000001E-2"/>
  </r>
  <r>
    <x v="1"/>
    <x v="26"/>
    <s v="DEU"/>
    <n v="83148144"/>
    <n v="3886392803328"/>
    <n v="3886392.803328"/>
    <n v="-1.7049999999999999E-2"/>
    <n v="-0.55800000000000005"/>
    <n v="386.78100000000001"/>
    <n v="32.159999999999997"/>
    <n v="603"/>
    <n v="50.13"/>
    <n v="8.3539999999999989E-2"/>
    <n v="8.6999999999999994E-3"/>
    <n v="392.49099999999999"/>
    <n v="-0.22620000000000001"/>
    <n v="-182.47200000000001"/>
    <n v="7507.2960000000003"/>
    <n v="624.21799999999996"/>
    <n v="2061.982"/>
    <n v="171.45"/>
    <n v="-0.24779000000000001"/>
    <n v="-108.88"/>
    <n v="3975.1669999999999"/>
    <n v="330.52800000000002"/>
    <n v="0.28571000000000002"/>
    <n v="0.16893999999999998"/>
    <n v="567.41999999999996"/>
    <n v="600.09"/>
    <n v="0.19005"/>
    <n v="-2.4510000000000001E-2"/>
    <n v="-92.843000000000004"/>
    <n v="44436.824000000001"/>
    <n v="0.95099999999999996"/>
    <n v="-4.5929999999999999E-2"/>
    <n v="-135.22499999999999"/>
    <n v="3413.7869999999998"/>
    <n v="283.85000000000002"/>
    <n v="33785.625"/>
    <n v="2809.212"/>
    <n v="0.47301000000000004"/>
    <n v="0.76031000000000004"/>
    <n v="3.9980000000000002E-2"/>
    <n v="34.323"/>
    <n v="892.83"/>
    <n v="1082"/>
    <n v="90"/>
    <n v="10737.825000000001"/>
    <n v="-3.8079999999999996E-2"/>
    <n v="-2.11"/>
    <n v="641.11599999999999"/>
    <n v="53.308"/>
    <n v="0.14998"/>
    <n v="0.24164000000000002"/>
    <n v="235.53"/>
    <n v="0.11519"/>
    <n v="5.2"/>
    <n v="52.01"/>
    <n v="237.28700000000001"/>
    <n v="19.73"/>
    <n v="625.51400000000001"/>
    <n v="3.288E-2"/>
    <n v="1.4079999999999999E-2"/>
    <n v="5.0479999999999997E-2"/>
    <n v="42.381999999999998"/>
    <n v="885.62800000000004"/>
    <n v="3803.3319999999999"/>
    <n v="316.24"/>
    <n v="10651.205"/>
    <n v="0.52698999999999996"/>
    <n v="0.23969000000000001"/>
    <n v="-32.67"/>
    <n v="-5.7579999999999999E-2"/>
    <n v="-1.2279999999999999E-2"/>
    <n v="-3.073"/>
    <n v="189.89"/>
    <n v="903"/>
    <n v="75"/>
    <n v="2283.759"/>
    <n v="0.13"/>
    <n v="5.1390000000000005E-2"/>
    <n v="1.01E-2"/>
    <n v="12.925000000000001"/>
    <n v="1292.164"/>
    <n v="269.399"/>
    <n v="22.4"/>
    <n v="15540.501"/>
    <m/>
    <m/>
    <m/>
    <m/>
    <n v="3.7330000000000002E-2"/>
    <n v="0.34972000000000003"/>
    <n v="160.51300000000001"/>
    <n v="50.33"/>
    <n v="0.2"/>
    <n v="-1.2709999999999999E-2"/>
    <n v="-2.0830000000000002"/>
    <n v="605"/>
    <n v="2"/>
    <n v="1930.443"/>
    <n v="8.387E-2"/>
    <n v="3.3E-4"/>
    <n v="4.3440000000000006E-2"/>
    <n v="7217.1189999999997"/>
    <n v="3694.84"/>
    <n v="6.9139999999999993E-2"/>
    <n v="45.454999999999998"/>
    <n v="695.73800000000006"/>
    <n v="2900.4859999999999"/>
    <n v="241.17"/>
    <n v="8367.4459999999999"/>
    <n v="0.40189000000000002"/>
    <n v="0.1883"/>
    <n v="2.0330000000000001E-2"/>
    <n v="1.9430000000000001"/>
    <n v="119.20099999999999"/>
    <n v="543.84900000000005"/>
    <n v="45.22"/>
    <n v="1433.6020000000001"/>
    <n v="7.5359999999999996E-2"/>
    <n v="3.2259999999999997E-2"/>
    <n v="0.14499999999999999"/>
    <n v="40.953000000000003"/>
    <n v="331.85300000000001"/>
    <n v="1514"/>
    <n v="125.89"/>
    <n v="3991.1060000000002"/>
    <n v="0.20979"/>
    <n v="8.9819999999999997E-2"/>
  </r>
  <r>
    <x v="0"/>
    <x v="27"/>
    <s v="FRA"/>
    <n v="64480052"/>
    <n v="2438594035712"/>
    <n v="2438594.035712"/>
    <n v="-9.8930000000000004E-2"/>
    <n v="-3.3820000000000001"/>
    <n v="477.66500000000002"/>
    <n v="30.8"/>
    <n v="136"/>
    <n v="8.76"/>
    <n v="1.6619999999999999E-2"/>
    <n v="1.2619999999999999E-2"/>
    <n v="59.082999999999998"/>
    <n v="-0.29514000000000001"/>
    <n v="-23.440999999999999"/>
    <n v="868.21199999999999"/>
    <n v="55.981999999999999"/>
    <n v="47.921999999999997"/>
    <n v="3.09"/>
    <m/>
    <m/>
    <m/>
    <m/>
    <n v="5.8599999999999998E-3"/>
    <n v="2.2930000000000002E-2"/>
    <n v="482.18"/>
    <n v="527.22"/>
    <n v="0.31015999999999999"/>
    <n v="-0.10566"/>
    <n v="-288.39600000000002"/>
    <n v="37859.245999999999"/>
    <n v="1.0009999999999999"/>
    <n v="-0.14278000000000002"/>
    <n v="-198.24199999999999"/>
    <n v="750.154"/>
    <n v="48.37"/>
    <n v="18458.41"/>
    <n v="1190.1990000000001"/>
    <n v="9.1750000000000012E-2"/>
    <n v="0.48755000000000004"/>
    <n v="-7.0519999999999999E-2"/>
    <n v="-30.792000000000002"/>
    <n v="405.82799999999997"/>
    <n v="547"/>
    <n v="35.25"/>
    <n v="6293.8590000000004"/>
    <m/>
    <m/>
    <m/>
    <m/>
    <n v="6.6860000000000003E-2"/>
    <n v="0.16624"/>
    <n v="31.15"/>
    <n v="0.10131"/>
    <n v="14.365"/>
    <n v="162.05199999999999"/>
    <n v="970.68799999999999"/>
    <n v="62.59"/>
    <n v="2513.212"/>
    <n v="0.11871999999999999"/>
    <n v="6.6379999999999995E-2"/>
    <n v="-6.7000000000000004E-2"/>
    <n v="-90.155000000000001"/>
    <n v="1250.9670000000001"/>
    <n v="7426.3280000000004"/>
    <n v="478.85"/>
    <n v="19400.835999999999"/>
    <n v="0.90825"/>
    <n v="0.51244999999999996"/>
    <n v="-45.04"/>
    <n v="-9.3409999999999993E-2"/>
    <n v="-0.11323"/>
    <n v="-117.566"/>
    <n v="891.721"/>
    <n v="5487"/>
    <n v="354"/>
    <n v="13829.414000000001"/>
    <n v="0.67"/>
    <n v="0.36527999999999999"/>
    <n v="-0.16507000000000002"/>
    <n v="-144.00899999999999"/>
    <n v="728.38900000000001"/>
    <n v="155.55199999999999"/>
    <n v="10.029999999999999"/>
    <n v="11296.34"/>
    <m/>
    <m/>
    <m/>
    <m/>
    <n v="1.9019999999999999E-2"/>
    <n v="0.29838000000000003"/>
    <n v="28.128"/>
    <n v="9.3699999999999992"/>
    <n v="0.61"/>
    <n v="3.9300000000000003E-3"/>
    <n v="0.112"/>
    <n v="145"/>
    <n v="9"/>
    <n v="436.23099999999999"/>
    <n v="1.7769999999999998E-2"/>
    <n v="1.16E-3"/>
    <n v="1.1519999999999999E-2"/>
    <n v="8176.482"/>
    <n v="2441.1660000000002"/>
    <n v="5.9980000000000006E-2"/>
    <n v="27.411000000000001"/>
    <n v="359.24599999999998"/>
    <n v="1938.894"/>
    <n v="125.02"/>
    <n v="5571.4219999999996"/>
    <n v="0.23713000000000001"/>
    <n v="0.14715999999999999"/>
    <n v="9.172000000000001E-2"/>
    <n v="2.6930000000000001"/>
    <n v="33.396000000000001"/>
    <n v="204.714"/>
    <n v="13.2"/>
    <n v="517.93399999999997"/>
    <n v="2.504E-2"/>
    <n v="1.3680000000000001E-2"/>
    <n v="0.15354999999999999"/>
    <n v="13.624000000000001"/>
    <n v="104.869"/>
    <n v="618"/>
    <n v="39.86"/>
    <n v="1626.3810000000001"/>
    <n v="7.5600000000000001E-2"/>
    <n v="4.2960000000000005E-2"/>
  </r>
  <r>
    <x v="1"/>
    <x v="27"/>
    <s v="DEU"/>
    <n v="83328992"/>
    <n v="3742720851968"/>
    <n v="3742720.8519680002"/>
    <n v="0.22111"/>
    <n v="7.1109999999999998"/>
    <n v="471.27699999999999"/>
    <n v="39.271000000000001"/>
    <n v="611"/>
    <n v="50.93"/>
    <n v="8.9860000000000009E-2"/>
    <n v="1.1399999999999999E-2"/>
    <n v="355.65899999999999"/>
    <n v="-0.17518"/>
    <n v="-109.351"/>
    <n v="6178.7209999999995"/>
    <n v="514.86699999999996"/>
    <n v="1615.2840000000001"/>
    <n v="134.6"/>
    <n v="-0.17724000000000001"/>
    <n v="-58.582999999999998"/>
    <n v="3263.5050000000001"/>
    <n v="271.94499999999999"/>
    <n v="0.23748999999999998"/>
    <n v="0.14949999999999999"/>
    <n v="547.72"/>
    <n v="566.75"/>
    <n v="0.19481000000000001"/>
    <n v="-6.7919999999999994E-2"/>
    <n v="-250.958"/>
    <n v="41328.737999999998"/>
    <n v="0.92"/>
    <n v="-9.0800000000000006E-2"/>
    <n v="-255.066"/>
    <n v="3010.7170000000001"/>
    <n v="250.88"/>
    <n v="30651.35"/>
    <n v="2554.1460000000002"/>
    <n v="0.44266"/>
    <n v="0.74165000000000003"/>
    <n v="-2.4369999999999999E-2"/>
    <n v="-21.754999999999999"/>
    <n v="871.07500000000005"/>
    <n v="1140"/>
    <n v="95"/>
    <n v="10453.444"/>
    <n v="-0.14976"/>
    <n v="-7.9829999999999997"/>
    <n v="543.91899999999998"/>
    <n v="45.323999999999998"/>
    <n v="0.16761999999999999"/>
    <n v="0.25292999999999999"/>
    <n v="201.57"/>
    <n v="-7.1410000000000001E-2"/>
    <n v="-3.891"/>
    <n v="48.119"/>
    <n v="224.65199999999999"/>
    <n v="18.72"/>
    <n v="577.45699999999999"/>
    <n v="3.3029999999999997E-2"/>
    <n v="1.397E-2"/>
    <n v="1.8180000000000002E-2"/>
    <n v="4.1079999999999997"/>
    <n v="889.73599999999999"/>
    <n v="3790.6370000000002"/>
    <n v="315.87"/>
    <n v="10677.387000000001"/>
    <n v="0.55734000000000006"/>
    <n v="0.25835000000000002"/>
    <n v="-19.03"/>
    <n v="-3.474E-2"/>
    <n v="-0.14238000000000001"/>
    <n v="-27.635000000000002"/>
    <n v="162.255"/>
    <n v="773"/>
    <n v="64"/>
    <n v="1947.1610000000001"/>
    <n v="0.11"/>
    <n v="4.7110000000000006E-2"/>
    <n v="-9.5930000000000001E-2"/>
    <n v="-123.959"/>
    <n v="1168.2049999999999"/>
    <n v="255.37299999999999"/>
    <n v="21.28"/>
    <n v="14019.186"/>
    <m/>
    <m/>
    <m/>
    <m/>
    <n v="3.755E-2"/>
    <n v="0.33921000000000001"/>
    <n v="163.16200000000001"/>
    <n v="51.16"/>
    <n v="0.23"/>
    <n v="1.6650000000000002E-2"/>
    <n v="2.649"/>
    <n v="614"/>
    <n v="3"/>
    <n v="1958.048"/>
    <n v="9.0269999999999989E-2"/>
    <n v="4.0999999999999999E-4"/>
    <n v="4.7380000000000005E-2"/>
    <n v="6801.3540000000003"/>
    <n v="3443.8820000000001"/>
    <n v="6.2279999999999995E-2"/>
    <n v="31.742999999999999"/>
    <n v="727.48099999999999"/>
    <n v="3018.0369999999998"/>
    <n v="251.49"/>
    <n v="8730.2260000000006"/>
    <n v="0.44374000000000002"/>
    <n v="0.21123999999999998"/>
    <n v="9.4540000000000013E-2"/>
    <n v="10.789"/>
    <n v="129.99100000000001"/>
    <n v="594.03099999999995"/>
    <n v="49.5"/>
    <n v="1559.971"/>
    <n v="8.7340000000000001E-2"/>
    <n v="3.7749999999999999E-2"/>
    <n v="4.931E-2"/>
    <n v="15.085000000000001"/>
    <n v="346.93799999999999"/>
    <n v="1585"/>
    <n v="132.11000000000001"/>
    <n v="4163.4740000000002"/>
    <n v="0.23309999999999997"/>
    <n v="0.10074"/>
  </r>
  <r>
    <x v="0"/>
    <x v="28"/>
    <s v="FRA"/>
    <n v="64531448"/>
    <n v="2604822691840"/>
    <n v="2604822.69184"/>
    <n v="0.13117000000000001"/>
    <n v="4.04"/>
    <n v="539.88800000000003"/>
    <n v="34.840000000000003"/>
    <n v="148"/>
    <n v="9.57"/>
    <n v="1.7399999999999999E-2"/>
    <n v="1.3429999999999999E-2"/>
    <n v="59.768999999999998"/>
    <n v="0.34045999999999998"/>
    <n v="19.059999999999999"/>
    <n v="1162.8810000000001"/>
    <n v="75.042000000000002"/>
    <n v="84.3"/>
    <n v="5.44"/>
    <m/>
    <m/>
    <m/>
    <m/>
    <n v="9.8899999999999995E-3"/>
    <n v="2.8929999999999997E-2"/>
    <n v="505.23"/>
    <n v="550.12"/>
    <n v="0.30164000000000002"/>
    <n v="6.2449999999999999E-2"/>
    <n v="152.458"/>
    <n v="40191.641000000003"/>
    <n v="0.996"/>
    <n v="8.1809999999999994E-2"/>
    <n v="97.370999999999995"/>
    <n v="756.06500000000005"/>
    <n v="48.79"/>
    <n v="19952.599999999999"/>
    <n v="1287.57"/>
    <n v="8.8689999999999991E-2"/>
    <n v="0.49643999999999999"/>
    <n v="6.0579999999999995E-2"/>
    <n v="24.585999999999999"/>
    <n v="430.41399999999999"/>
    <n v="516"/>
    <n v="33.29"/>
    <n v="6669.8329999999996"/>
    <m/>
    <m/>
    <m/>
    <m/>
    <n v="6.0510000000000001E-2"/>
    <n v="0.16594999999999999"/>
    <n v="32.880000000000003"/>
    <n v="-4.9439999999999998E-2"/>
    <n v="-8.5760000000000005"/>
    <n v="153.476"/>
    <n v="923.89099999999996"/>
    <n v="59.62"/>
    <n v="2378.3159999999998"/>
    <n v="0.10837999999999999"/>
    <n v="5.917E-2"/>
    <n v="5.151E-2"/>
    <n v="55.088000000000001"/>
    <n v="1306.0550000000001"/>
    <n v="7768.77"/>
    <n v="501.33"/>
    <n v="20239.043000000001"/>
    <n v="0.91130999999999995"/>
    <n v="0.50356000000000001"/>
    <n v="-44.89"/>
    <n v="-8.8849999999999998E-2"/>
    <n v="7.2149999999999992E-2"/>
    <n v="60.837000000000003"/>
    <n v="952.55799999999999"/>
    <n v="5879"/>
    <n v="379"/>
    <n v="14761.147000000001"/>
    <n v="0.69"/>
    <n v="0.36726999999999999"/>
    <n v="7.3760000000000006E-2"/>
    <n v="53.725000000000001"/>
    <n v="782.11400000000003"/>
    <n v="155.893"/>
    <n v="10.06"/>
    <n v="12119.887000000001"/>
    <m/>
    <m/>
    <m/>
    <m/>
    <n v="1.8290000000000001E-2"/>
    <n v="0.30154999999999998"/>
    <n v="29.48"/>
    <n v="10.15"/>
    <n v="0.57999999999999996"/>
    <n v="4.8129999999999999E-2"/>
    <n v="1.3520000000000001"/>
    <n v="157"/>
    <n v="9"/>
    <n v="456.839"/>
    <n v="1.8450000000000001E-2"/>
    <n v="1.0499999999999999E-3"/>
    <n v="1.137E-2"/>
    <n v="8524.8359999999993"/>
    <n v="2593.625"/>
    <n v="4.0699999999999998E-3"/>
    <n v="-5.7489999999999997"/>
    <n v="353.49599999999998"/>
    <n v="1890.086"/>
    <n v="121.97"/>
    <n v="5477.8950000000004"/>
    <n v="0.22172"/>
    <n v="0.13628999999999999"/>
    <n v="0.17021"/>
    <n v="5.5410000000000004"/>
    <n v="38.938000000000002"/>
    <n v="238.178"/>
    <n v="15.37"/>
    <n v="603.39099999999996"/>
    <n v="2.794E-2"/>
    <n v="1.5009999999999999E-2"/>
    <n v="-7.3910000000000003E-2"/>
    <n v="-8.1069999999999993"/>
    <n v="96.762"/>
    <n v="571"/>
    <n v="36.83"/>
    <n v="1499.461"/>
    <n v="6.695000000000001E-2"/>
    <n v="3.7309999999999996E-2"/>
  </r>
  <r>
    <x v="1"/>
    <x v="28"/>
    <s v="DEU"/>
    <n v="83408560"/>
    <n v="3841041629184"/>
    <n v="3841041.6291840002"/>
    <n v="-0.1116"/>
    <n v="-4.383"/>
    <n v="418.28100000000001"/>
    <n v="34.887999999999998"/>
    <n v="589"/>
    <n v="49.1"/>
    <n v="8.4760000000000002E-2"/>
    <n v="9.8399999999999998E-3"/>
    <n v="394.53800000000001"/>
    <n v="0.20795000000000002"/>
    <n v="107.068"/>
    <n v="7456.4830000000002"/>
    <n v="621.93499999999995"/>
    <n v="1974.018"/>
    <n v="164.65"/>
    <n v="0.17794000000000001"/>
    <n v="48.389000000000003"/>
    <n v="3840.5329999999999"/>
    <n v="320.33300000000003"/>
    <n v="0.28422000000000003"/>
    <n v="0.17546"/>
    <n v="560.73"/>
    <n v="579.30999999999995"/>
    <n v="0.19105"/>
    <n v="2.9239999999999999E-2"/>
    <n v="100.699"/>
    <n v="42496.608999999997"/>
    <n v="0.92300000000000004"/>
    <n v="5.5210000000000002E-2"/>
    <n v="141.00899999999999"/>
    <n v="3323.28"/>
    <n v="277.19"/>
    <n v="32312.692999999999"/>
    <n v="2695.1550000000002"/>
    <n v="0.47848000000000002"/>
    <n v="0.76036000000000004"/>
    <n v="5.3159999999999999E-2"/>
    <n v="46.305"/>
    <n v="917.38"/>
    <n v="1083"/>
    <n v="90.3"/>
    <n v="10998.635"/>
    <n v="9.7000000000000005E-4"/>
    <n v="4.3999999999999997E-2"/>
    <n v="543.92700000000002"/>
    <n v="45.368000000000002"/>
    <n v="0.15587999999999999"/>
    <n v="0.25880999999999998"/>
    <n v="228.56"/>
    <n v="7.2889999999999996E-2"/>
    <n v="3.3180000000000001"/>
    <n v="51.436999999999998"/>
    <n v="235.70699999999999"/>
    <n v="19.66"/>
    <n v="616.68899999999996"/>
    <n v="3.3939999999999998E-2"/>
    <n v="1.451E-2"/>
    <n v="-4.7270000000000006E-2"/>
    <n v="-40.31"/>
    <n v="849.42600000000004"/>
    <n v="3622.17"/>
    <n v="302.12"/>
    <n v="10183.914000000001"/>
    <n v="0.52151999999999998"/>
    <n v="0.23963999999999999"/>
    <n v="-18.579999999999998"/>
    <n v="-3.3140000000000003E-2"/>
    <n v="7.3749999999999996E-2"/>
    <n v="11.327999999999999"/>
    <n v="173.583"/>
    <n v="829"/>
    <n v="69"/>
    <n v="2081.1210000000001"/>
    <n v="0.12"/>
    <n v="4.897E-2"/>
    <n v="-1.0580000000000001E-2"/>
    <n v="-12.364000000000001"/>
    <n v="1155.8409999999999"/>
    <n v="266.63900000000001"/>
    <n v="22.24"/>
    <n v="13857.579"/>
    <m/>
    <m/>
    <m/>
    <m/>
    <n v="3.8390000000000001E-2"/>
    <n v="0.32608999999999999"/>
    <n v="160.416"/>
    <n v="49.34"/>
    <n v="0.24"/>
    <n v="-1.6750000000000001E-2"/>
    <n v="-2.746"/>
    <n v="592"/>
    <n v="3"/>
    <n v="1923.2560000000001"/>
    <n v="8.5169999999999996E-2"/>
    <n v="4.0999999999999999E-4"/>
    <n v="4.5259999999999995E-2"/>
    <n v="6945.45"/>
    <n v="3544.5810000000001"/>
    <n v="-7.4099999999999999E-2"/>
    <n v="-51.639000000000003"/>
    <n v="675.84199999999998"/>
    <n v="2793.3580000000002"/>
    <n v="232.99"/>
    <n v="8102.7929999999997"/>
    <n v="0.40218999999999999"/>
    <n v="0.19067000000000001"/>
    <n v="-3.15E-3"/>
    <n v="-0.88400000000000001"/>
    <n v="129.107"/>
    <n v="591.54600000000005"/>
    <n v="49.34"/>
    <n v="1547.885"/>
    <n v="8.5169999999999996E-2"/>
    <n v="3.6420000000000001E-2"/>
    <n v="-0.13213"/>
    <n v="-46.944000000000003"/>
    <n v="299.99400000000003"/>
    <n v="1375"/>
    <n v="114.65"/>
    <n v="3596.683"/>
    <n v="0.19791"/>
    <n v="8.4629999999999997E-2"/>
  </r>
  <r>
    <x v="0"/>
    <x v="29"/>
    <s v="FRA"/>
    <n v="64626624"/>
    <n v="2671568748544"/>
    <n v="2671568.7485440001"/>
    <n v="0.15343999999999999"/>
    <n v="5.3460000000000001"/>
    <n v="621.81100000000004"/>
    <n v="40.186"/>
    <n v="151"/>
    <n v="9.7799999999999994"/>
    <n v="2.0840000000000001E-2"/>
    <n v="1.7479999999999999E-2"/>
    <n v="78.811000000000007"/>
    <n v="-0.14157"/>
    <n v="-10.624000000000001"/>
    <n v="996.78399999999999"/>
    <n v="64.418999999999997"/>
    <n v="67"/>
    <n v="4.33"/>
    <m/>
    <m/>
    <m/>
    <m/>
    <n v="9.2300000000000004E-3"/>
    <n v="2.8029999999999999E-2"/>
    <n v="484.29"/>
    <n v="469.35"/>
    <n v="0.28023999999999999"/>
    <n v="-0.11377000000000001"/>
    <n v="-295.065"/>
    <n v="35566.758000000002"/>
    <n v="0.86"/>
    <n v="-4.7969999999999999E-2"/>
    <n v="-61.765000000000001"/>
    <n v="936.45600000000002"/>
    <n v="60.52"/>
    <n v="18967.490000000002"/>
    <n v="1225.8050000000001"/>
    <n v="0.12894"/>
    <n v="0.53329000000000004"/>
    <n v="-0.10849"/>
    <n v="-46.695999999999998"/>
    <n v="383.71800000000002"/>
    <n v="708"/>
    <n v="45.74"/>
    <n v="5937.4549999999999"/>
    <m/>
    <m/>
    <m/>
    <m/>
    <n v="9.7449999999999995E-2"/>
    <n v="0.16693999999999998"/>
    <n v="36.99"/>
    <n v="-0.24521999999999999"/>
    <n v="-38.058"/>
    <n v="115.41800000000001"/>
    <n v="704.35400000000004"/>
    <n v="45.52"/>
    <n v="1785.925"/>
    <n v="9.6989999999999993E-2"/>
    <n v="5.0209999999999998E-2"/>
    <n v="-0.16478000000000001"/>
    <n v="-233.3"/>
    <n v="1072.7550000000001"/>
    <n v="6326.03"/>
    <n v="408.83"/>
    <n v="16599.271000000001"/>
    <n v="0.87105999999999995"/>
    <n v="0.46671000000000001"/>
    <n v="14.94"/>
    <n v="3.0849999999999999E-2"/>
    <n v="-0.22309000000000001"/>
    <n v="-215.20099999999999"/>
    <n v="737.35699999999997"/>
    <n v="4561"/>
    <n v="295"/>
    <n v="11409.492"/>
    <n v="0.63"/>
    <n v="0.32079000000000002"/>
    <n v="-5.6799999999999993E-3"/>
    <n v="-4.4459999999999997"/>
    <n v="777.66800000000001"/>
    <n v="161.69800000000001"/>
    <n v="10.45"/>
    <n v="12033.249"/>
    <m/>
    <m/>
    <m/>
    <m/>
    <n v="2.2259999999999999E-2"/>
    <n v="0.33832999999999996"/>
    <n v="31.067"/>
    <n v="10.38"/>
    <n v="0.6"/>
    <n v="5.3789999999999998E-2"/>
    <n v="1.5860000000000001"/>
    <n v="161"/>
    <n v="9"/>
    <n v="480.71"/>
    <n v="2.2120000000000001E-2"/>
    <n v="1.2800000000000001E-3"/>
    <n v="1.3520000000000001E-2"/>
    <n v="7262.4870000000001"/>
    <n v="2298.56"/>
    <n v="-2.1690000000000001E-2"/>
    <n v="-18.099"/>
    <n v="335.39800000000002"/>
    <n v="1765.5260000000001"/>
    <n v="114.1"/>
    <n v="5189.78"/>
    <n v="0.24309999999999998"/>
    <n v="0.14591999999999999"/>
    <n v="0.28650999999999999"/>
    <n v="10.973000000000001"/>
    <n v="49.911000000000001"/>
    <n v="303.89999999999998"/>
    <n v="19.64"/>
    <n v="772.29899999999998"/>
    <n v="4.1849999999999998E-2"/>
    <n v="2.1709999999999997E-2"/>
    <n v="2.4969999999999999E-2"/>
    <n v="2.0539999999999998"/>
    <n v="98.816000000000003"/>
    <n v="597"/>
    <n v="38.56"/>
    <n v="1529.0350000000001"/>
    <n v="8.2159999999999997E-2"/>
    <n v="4.299E-2"/>
  </r>
  <r>
    <x v="1"/>
    <x v="29"/>
    <s v="DEU"/>
    <n v="83369840"/>
    <n v="3909612732416"/>
    <n v="3909612.7324160002"/>
    <n v="1.5199999999999999E-3"/>
    <n v="5.2999999999999999E-2"/>
    <n v="419.10899999999998"/>
    <n v="34.941000000000003"/>
    <n v="577"/>
    <n v="48.14"/>
    <n v="8.4830000000000003E-2"/>
    <n v="1.0240000000000001E-2"/>
    <n v="420.05700000000002"/>
    <n v="3.1879999999999999E-2"/>
    <n v="19.826000000000001"/>
    <n v="7697.7510000000002"/>
    <n v="641.76"/>
    <n v="2158.8139999999999"/>
    <n v="179.98"/>
    <n v="3.4369999999999998E-2"/>
    <n v="11.010999999999999"/>
    <n v="3974.3870000000002"/>
    <n v="331.34399999999999"/>
    <n v="0.31716"/>
    <n v="0.18803"/>
    <n v="540.21"/>
    <n v="567.47"/>
    <n v="0.19446000000000002"/>
    <n v="-3.712E-2"/>
    <n v="-131.58099999999999"/>
    <n v="40938.07"/>
    <n v="0.873"/>
    <n v="-3.6379999999999996E-2"/>
    <n v="-98.054000000000002"/>
    <n v="3374.482"/>
    <n v="281.33"/>
    <n v="31151.562000000002"/>
    <n v="2597.1010000000001"/>
    <n v="0.49575999999999998"/>
    <n v="0.76093999999999995"/>
    <n v="-0.15472"/>
    <n v="-141.93299999999999"/>
    <n v="775.447"/>
    <n v="957"/>
    <n v="79.8"/>
    <n v="9301.2919999999995"/>
    <n v="-6.1620000000000001E-2"/>
    <n v="-2.7949999999999999"/>
    <n v="510.649"/>
    <n v="42.573"/>
    <n v="0.14061999999999999"/>
    <n v="0.22719999999999999"/>
    <n v="238.37"/>
    <n v="-0.10342999999999999"/>
    <n v="-5.4889999999999999"/>
    <n v="45.948999999999998"/>
    <n v="211.46700000000001"/>
    <n v="17.63"/>
    <n v="551.14200000000005"/>
    <n v="3.107E-2"/>
    <n v="1.3460000000000001E-2"/>
    <n v="-4.045E-2"/>
    <n v="-33.526000000000003"/>
    <n v="815.899"/>
    <n v="3432.1770000000001"/>
    <n v="286.14"/>
    <n v="9786.5059999999994"/>
    <n v="0.50424000000000002"/>
    <n v="0.23905999999999999"/>
    <n v="-27.26"/>
    <n v="-5.0460000000000005E-2"/>
    <n v="-0.49792000000000003"/>
    <n v="-86.748000000000005"/>
    <n v="86.834999999999994"/>
    <n v="416"/>
    <n v="35"/>
    <n v="1041.57"/>
    <n v="0.06"/>
    <n v="2.5440000000000001E-2"/>
    <n v="2.0809999999999999E-2"/>
    <n v="24.053000000000001"/>
    <n v="1179.893"/>
    <n v="258.48700000000002"/>
    <n v="21.55"/>
    <n v="14152.52"/>
    <m/>
    <m/>
    <m/>
    <m/>
    <n v="3.798E-2"/>
    <n v="0.34570999999999996"/>
    <n v="165.541"/>
    <n v="48.35"/>
    <n v="0.21"/>
    <n v="3.177E-2"/>
    <n v="5.125"/>
    <n v="580"/>
    <n v="3"/>
    <n v="1985.6279999999999"/>
    <n v="8.5199999999999998E-2"/>
    <n v="3.6999999999999999E-4"/>
    <n v="4.8499999999999995E-2"/>
    <n v="6806.6580000000004"/>
    <n v="3413"/>
    <n v="7.7190000000000009E-2"/>
    <n v="53.222000000000001"/>
    <n v="729.06399999999996"/>
    <n v="3015.8389999999999"/>
    <n v="251.43"/>
    <n v="8744.9359999999997"/>
    <n v="0.44307000000000002"/>
    <n v="0.21360999999999999"/>
    <n v="0.22220999999999999"/>
    <n v="28.114000000000001"/>
    <n v="157.221"/>
    <n v="729.16099999999994"/>
    <n v="60.79"/>
    <n v="1885.8219999999999"/>
    <n v="0.10711999999999999"/>
    <n v="4.607E-2"/>
    <n v="8.8699999999999987E-2"/>
    <n v="25.417999999999999"/>
    <n v="325.41199999999998"/>
    <n v="1495"/>
    <n v="124.66"/>
    <n v="3903.2350000000001"/>
    <n v="0.21967999999999999"/>
    <n v="9.5340000000000008E-2"/>
  </r>
  <r>
    <x v="0"/>
    <x v="30"/>
    <s v="FRA"/>
    <n v="64756584"/>
    <m/>
    <m/>
    <n v="-3.4409999999999996E-2"/>
    <n v="-1.383"/>
    <n v="599.20899999999995"/>
    <n v="38.802999999999997"/>
    <n v="147"/>
    <n v="9.5"/>
    <n v="1.848E-2"/>
    <n v="1.6120000000000002E-2"/>
    <n v="56.039000000000001"/>
    <n v="-0.23341000000000001"/>
    <n v="-15.036"/>
    <n v="762.58699999999999"/>
    <n v="49.383000000000003"/>
    <n v="33.356000000000002"/>
    <n v="2.16"/>
    <m/>
    <m/>
    <m/>
    <m/>
    <n v="4.1999999999999997E-3"/>
    <n v="2.052E-2"/>
    <n v="464.18"/>
    <n v="514.11"/>
    <n v="0.30868000000000001"/>
    <n v="4.7019999999999999E-2"/>
    <n v="108.07299999999999"/>
    <n v="37164.296999999999"/>
    <m/>
    <n v="-5.7020000000000001E-2"/>
    <n v="-69.899000000000001"/>
    <n v="668.65800000000002"/>
    <n v="43.3"/>
    <n v="17850.02"/>
    <n v="1155.9059999999999"/>
    <n v="8.4220000000000003E-2"/>
    <n v="0.4803"/>
    <n v="-0.11747"/>
    <n v="-45.076000000000001"/>
    <n v="338.642"/>
    <n v="485"/>
    <n v="31.43"/>
    <n v="5229.4549999999999"/>
    <m/>
    <m/>
    <m/>
    <m/>
    <n v="6.1130000000000004E-2"/>
    <n v="0.14071"/>
    <n v="28.81"/>
    <n v="0.25417000000000001"/>
    <n v="28.81"/>
    <n v="144.22800000000001"/>
    <n v="821.38400000000001"/>
    <n v="53.19"/>
    <n v="2227.2399999999998"/>
    <n v="0.10346"/>
    <n v="5.9930000000000004E-2"/>
    <n v="0.15881000000000001"/>
    <n v="177.97200000000001"/>
    <n v="1250.7270000000001"/>
    <n v="7270.4579999999996"/>
    <n v="470.81"/>
    <n v="19314.276999999998"/>
    <n v="0.91578000000000004"/>
    <n v="0.51969999999999994"/>
    <n v="-49.93"/>
    <n v="-0.10757"/>
    <n v="0.14749000000000001"/>
    <n v="105.682"/>
    <n v="843.03899999999999"/>
    <n v="5183"/>
    <n v="336"/>
    <n v="13018.581"/>
    <n v="0.65"/>
    <n v="0.3503"/>
    <n v="-1.2580000000000001E-2"/>
    <n v="-9.7859999999999996"/>
    <n v="767.88199999999995"/>
    <n v="149.946"/>
    <n v="9.7100000000000009"/>
    <n v="11857.977000000001"/>
    <m/>
    <m/>
    <m/>
    <m/>
    <n v="1.8890000000000001E-2"/>
    <n v="0.31907000000000002"/>
    <n v="30.978000000000002"/>
    <n v="10.1"/>
    <n v="0.6"/>
    <n v="-2.8599999999999997E-3"/>
    <n v="-8.8999999999999996E-2"/>
    <n v="156"/>
    <n v="9"/>
    <n v="478.37200000000001"/>
    <n v="1.9650000000000001E-2"/>
    <n v="1.17E-3"/>
    <n v="1.2869999999999999E-2"/>
    <n v="7939.1149999999998"/>
    <n v="2406.6329999999998"/>
    <n v="0.18087"/>
    <n v="72.290000000000006"/>
    <n v="407.68799999999999"/>
    <n v="2087.201"/>
    <n v="135.16"/>
    <n v="6295.6970000000001"/>
    <n v="0.26289999999999997"/>
    <n v="0.16940000000000002"/>
    <n v="0.16211999999999999"/>
    <n v="7.8810000000000002"/>
    <n v="57.792000000000002"/>
    <n v="359.19099999999997"/>
    <n v="23.26"/>
    <n v="892.447"/>
    <n v="4.5240000000000002E-2"/>
    <n v="2.4009999999999997E-2"/>
    <n v="0.38016"/>
    <n v="37.070999999999998"/>
    <n v="135.887"/>
    <n v="751"/>
    <n v="48.61"/>
    <n v="2098.4290000000001"/>
    <n v="9.4549999999999995E-2"/>
    <n v="5.6459999999999996E-2"/>
  </r>
  <r>
    <x v="1"/>
    <x v="30"/>
    <s v="DEU"/>
    <n v="83294632"/>
    <m/>
    <m/>
    <n v="3.533E-2"/>
    <n v="1.234"/>
    <n v="434.30900000000003"/>
    <n v="36.176000000000002"/>
    <n v="552"/>
    <n v="46.02"/>
    <n v="9.1170000000000015E-2"/>
    <n v="1.141E-2"/>
    <n v="380.95"/>
    <n v="-0.20963999999999999"/>
    <n v="-134.53800000000001"/>
    <n v="6089.4949999999999"/>
    <n v="507.22199999999998"/>
    <n v="1624.9549999999999"/>
    <n v="135.35"/>
    <n v="-0.23207999999999998"/>
    <n v="-76.900000000000006"/>
    <n v="3054.752"/>
    <n v="254.44399999999999"/>
    <n v="0.26812999999999998"/>
    <n v="0.16003000000000001"/>
    <n v="513.71"/>
    <n v="504.79"/>
    <n v="0.18780000000000002"/>
    <n v="-7.1330000000000005E-2"/>
    <n v="-243.45"/>
    <n v="38052.269999999997"/>
    <m/>
    <n v="-8.4220000000000003E-2"/>
    <n v="-218.72499999999999"/>
    <n v="2779.0509999999999"/>
    <n v="231.48"/>
    <n v="28553.773000000001"/>
    <n v="2378.3760000000002"/>
    <n v="0.45856999999999998"/>
    <n v="0.75037999999999994"/>
    <n v="-2.426E-2"/>
    <n v="-18.809000000000001"/>
    <n v="756.63800000000003"/>
    <n v="912"/>
    <n v="76"/>
    <n v="9083.8760000000002"/>
    <n v="-0.10596999999999999"/>
    <n v="-4.5119999999999996"/>
    <n v="456.94600000000003"/>
    <n v="38.061"/>
    <n v="0.15056"/>
    <n v="0.23871999999999999"/>
    <n v="192.3"/>
    <n v="0.11432"/>
    <n v="5.0670000000000002"/>
    <n v="51.015000000000001"/>
    <n v="233.869"/>
    <n v="19.48"/>
    <n v="612.47"/>
    <n v="3.8589999999999999E-2"/>
    <n v="1.61E-2"/>
    <n v="-2.6080000000000002E-2"/>
    <n v="-24.725999999999999"/>
    <n v="791.17399999999998"/>
    <n v="3281.2440000000001"/>
    <n v="273.31"/>
    <n v="9498.4950000000008"/>
    <n v="0.54142999999999997"/>
    <n v="0.24962000000000001"/>
    <n v="8.92"/>
    <n v="1.736E-2"/>
    <n v="-0.79209999999999992"/>
    <n v="-68.847999999999999"/>
    <n v="17.986999999999998"/>
    <n v="105"/>
    <n v="9"/>
    <n v="215.94900000000001"/>
    <n v="0.02"/>
    <n v="5.6799999999999993E-3"/>
    <n v="-5.5410000000000001E-2"/>
    <n v="-65.378"/>
    <n v="1114.5160000000001"/>
    <n v="241.672"/>
    <n v="20.13"/>
    <n v="13380.403"/>
    <m/>
    <m/>
    <m/>
    <m/>
    <n v="3.9879999999999999E-2"/>
    <n v="0.35162999999999994"/>
    <n v="157.84100000000001"/>
    <n v="46.23"/>
    <n v="0.21"/>
    <n v="-4.6460000000000001E-2"/>
    <n v="-7.7"/>
    <n v="555"/>
    <n v="3"/>
    <n v="1894.9749999999999"/>
    <n v="9.1579999999999995E-2"/>
    <n v="4.2000000000000002E-4"/>
    <n v="4.9800000000000004E-2"/>
    <n v="6060.2950000000001"/>
    <n v="3169.55"/>
    <n v="6.5739999999999993E-2"/>
    <n v="44.122"/>
    <n v="773.18600000000004"/>
    <n v="3176.1950000000002"/>
    <n v="264.56"/>
    <n v="9282.5460000000003"/>
    <n v="0.52410000000000001"/>
    <n v="0.24393999999999999"/>
    <n v="1.512E-2"/>
    <n v="1.798"/>
    <n v="159.018"/>
    <n v="739.06299999999999"/>
    <n v="61.56"/>
    <n v="1909.1079999999999"/>
    <n v="0.12195"/>
    <n v="5.0170000000000006E-2"/>
    <n v="0.13849999999999998"/>
    <n v="43.722999999999999"/>
    <n v="369.13600000000002"/>
    <n v="1648"/>
    <n v="137.29"/>
    <n v="4431.6850000000004"/>
    <n v="0.27196999999999999"/>
    <n v="0.11646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FE4EA-EB70-41FA-A017-290F08EC7478}" name="PivotTable2" cacheId="24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rowHeaderCaption="Year">
  <location ref="A3:G37" firstHeaderRow="1" firstDataRow="3" firstDataCol="1"/>
  <pivotFields count="130">
    <pivotField axis="axisCol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0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me von fossil_fuel_consumption" fld="39" baseField="0" baseItem="0"/>
    <dataField name="Summe von low_carbon_consumption" fld="65" baseField="0" baseItem="0"/>
  </dataFields>
  <formats count="1">
    <format dxfId="5">
      <pivotArea field="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D079D-8C12-492D-AD0B-3013F5CA8E4A}" name="PivotTable7" cacheId="24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>
  <location ref="Y3:AE37" firstHeaderRow="1" firstDataRow="3" firstDataCol="1"/>
  <pivotFields count="130">
    <pivotField axis="axisCol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-2"/>
    <field x="0"/>
  </colFields>
  <colItems count="6">
    <i>
      <x/>
      <x/>
    </i>
    <i r="1">
      <x v="1"/>
    </i>
    <i i="1">
      <x v="1"/>
      <x/>
    </i>
    <i r="1" i="1">
      <x v="1"/>
    </i>
    <i i="2">
      <x v="2"/>
      <x/>
    </i>
    <i r="1" i="2">
      <x v="1"/>
    </i>
  </colItems>
  <dataFields count="3">
    <dataField name="Summe von nuclear_consumption" fld="75" baseField="1" baseItem="0" numFmtId="1"/>
    <dataField name="Summe von nuclear_elec_per_capita" fld="76" baseField="0" baseItem="0"/>
    <dataField name="Summe von nuclear_share_energy" fld="80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81EA7-5E07-4D6C-AE13-EC893C9C0CC7}" name="PivotTable6" cacheId="24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>
  <location ref="U3:W36" firstHeaderRow="1" firstDataRow="2" firstDataCol="1"/>
  <pivotFields count="130">
    <pivotField axis="axisCol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2">
    <i>
      <x/>
    </i>
    <i>
      <x v="1"/>
    </i>
  </colItems>
  <dataFields count="1">
    <dataField name="Summe von greenhouse_gas_emissions" fld="54" baseField="1" baseItem="17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A2175-83FE-48E3-BFE6-DAA167181B3A}" name="PivotTable5" cacheId="24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 chartFormat="24" rowHeaderCaption="Year" colHeaderCaption="">
  <location ref="Q3:S35" firstHeaderRow="1" firstDataRow="2" firstDataCol="1"/>
  <pivotFields count="130">
    <pivotField axis="axisCol" multipleItemSelectionAllowed="1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Fields count="1">
    <field x="0"/>
  </colFields>
  <colItems count="2">
    <i>
      <x/>
    </i>
    <i>
      <x v="1"/>
    </i>
  </colItems>
  <dataFields count="1">
    <dataField name="% electricity from low-carbon sources" fld="69" baseField="1" baseItem="0" numFmtId="9"/>
  </dataFields>
  <chartFormats count="12">
    <chartFormat chart="13" format="19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3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0D552-3533-4E23-91BF-9DA52780220E}" name="PivotTable4" cacheId="24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 chartFormat="19" rowHeaderCaption="Year" colHeaderCaption="">
  <location ref="M3:O35" firstHeaderRow="1" firstDataRow="2" firstDataCol="1"/>
  <pivotFields count="130">
    <pivotField axis="axisCol" multipleItemSelectionAllowed="1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</rowItems>
  <colFields count="1">
    <field x="0"/>
  </colFields>
  <colItems count="2">
    <i>
      <x/>
    </i>
    <i>
      <x v="1"/>
    </i>
  </colItems>
  <dataFields count="1">
    <dataField name="% Energy use from low carbon sources" fld="70" baseField="1" baseItem="0" numFmtId="9"/>
  </dataFields>
  <chartFormats count="8">
    <chartFormat chart="13" format="19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4" format="17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4" format="18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13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C8210-6557-49AB-A80D-2FAB9C03CE7A}" name="PivotTable8" cacheId="24" dataPosition="0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 chartFormat="11" rowHeaderCaption="Year" colHeaderCaption="">
  <location ref="E3:G36" firstHeaderRow="1" firstDataRow="2" firstDataCol="1"/>
  <pivotFields count="130">
    <pivotField axis="axisCol" showAll="0">
      <items count="3">
        <item x="0"/>
        <item x="1"/>
        <item t="default"/>
      </items>
    </pivotField>
    <pivotField axis="axisRow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2">
    <i>
      <x/>
    </i>
    <i>
      <x v="1"/>
    </i>
  </colItems>
  <dataFields count="1">
    <dataField name="Yearly Energy per Capita" fld="32" baseField="1" baseItem="0" numFmtId="3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606F3-8CA4-4DDA-B6DF-CD4F505C31C7}" name="PivotTable3" cacheId="24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 chartFormat="25" rowHeaderCaption="Year">
  <location ref="A3:C35" firstHeaderRow="1" firstDataRow="2" firstDataCol="1"/>
  <pivotFields count="130">
    <pivotField axis="axisCol" showAll="0">
      <items count="3">
        <item x="0"/>
        <item x="1"/>
        <item t="default"/>
      </items>
    </pivotField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h="1" x="30"/>
        <item t="default"/>
      </items>
    </pivotField>
    <pivotField showAll="0"/>
    <pivotField numFmtId="3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0"/>
  </colFields>
  <colItems count="2">
    <i>
      <x/>
    </i>
    <i>
      <x v="1"/>
    </i>
  </colItems>
  <dataFields count="1">
    <dataField name="Yearly GDP in Million USD" fld="5" baseField="1" baseItem="5" numFmtId="3"/>
  </dataFields>
  <chartFormats count="2"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82BF0-7812-4F5B-8B80-AA6B891BAEFD}" name="PivotTable9" cacheId="24" dataPosition="0" applyNumberFormats="0" applyBorderFormats="0" applyFontFormats="0" applyPatternFormats="0" applyAlignmentFormats="0" applyWidthHeightFormats="1" dataCaption="Werte" updatedVersion="8" minRefreshableVersion="3" useAutoFormatting="1" colGrandTotals="0" itemPrintTitles="1" createdVersion="8" indent="0" outline="1" outlineData="1" multipleFieldFilters="0" chartFormat="8" rowHeaderCaption="Year" colHeaderCaption="">
  <location ref="I3:K36" firstHeaderRow="1" firstDataRow="2" firstDataCol="1"/>
  <pivotFields count="130">
    <pivotField axis="axisCol" showAll="0">
      <items count="3">
        <item x="0"/>
        <item x="1"/>
        <item t="default"/>
      </items>
    </pivotField>
    <pivotField axis="axisRow" showAll="0" sortType="ascending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0"/>
  </colFields>
  <colItems count="2">
    <i>
      <x/>
    </i>
    <i>
      <x v="1"/>
    </i>
  </colItems>
  <dataFields count="1">
    <dataField name="Yearly Energy per GDP" fld="33" baseField="1" baseItem="0" numFmtId="4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1C907B28-BF21-4271-B63E-62FBC6BBF474}" autoFormatId="16" applyNumberFormats="0" applyBorderFormats="0" applyFontFormats="0" applyPatternFormats="0" applyAlignmentFormats="0" applyWidthHeightFormats="0">
  <queryTableRefresh nextId="5">
    <queryTableFields count="4">
      <queryTableField id="1" name="column" tableColumnId="1"/>
      <queryTableField id="2" name="description" tableColumnId="2"/>
      <queryTableField id="3" name="unit" tableColumnId="3"/>
      <queryTableField id="4" name="sour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CD5FEF46-05B3-4BD0-8352-212D776FCD94}" autoFormatId="16" applyNumberFormats="0" applyBorderFormats="0" applyFontFormats="0" applyPatternFormats="0" applyAlignmentFormats="0" applyWidthHeightFormats="0">
  <queryTableRefresh nextId="137">
    <queryTableFields count="130">
      <queryTableField id="1" name="country" tableColumnId="1"/>
      <queryTableField id="2" name="year" tableColumnId="2"/>
      <queryTableField id="129" name="iso_code" tableColumnId="129"/>
      <queryTableField id="3" name="population" tableColumnId="3"/>
      <queryTableField id="133" name="gdp" tableColumnId="131"/>
      <queryTableField id="134" name="gdp_million_usd" tableColumnId="132"/>
      <queryTableField id="5" name="biofuel_cons_change_pct" tableColumnId="5"/>
      <queryTableField id="6" name="biofuel_cons_change_twh" tableColumnId="6"/>
      <queryTableField id="7" name="biofuel_cons_per_capita" tableColumnId="7"/>
      <queryTableField id="8" name="biofuel_consumption" tableColumnId="8"/>
      <queryTableField id="9" name="biofuel_elec_per_capita" tableColumnId="9"/>
      <queryTableField id="10" name="biofuel_electricity" tableColumnId="10"/>
      <queryTableField id="11" name="biofuel_share_elec" tableColumnId="11"/>
      <queryTableField id="12" name="biofuel_share_energy" tableColumnId="12"/>
      <queryTableField id="13" name="carbon_intensity_elec" tableColumnId="13"/>
      <queryTableField id="14" name="coal_cons_change_pct" tableColumnId="14"/>
      <queryTableField id="15" name="coal_cons_change_twh" tableColumnId="15"/>
      <queryTableField id="16" name="coal_cons_per_capita" tableColumnId="16"/>
      <queryTableField id="17" name="coal_consumption" tableColumnId="17"/>
      <queryTableField id="18" name="coal_elec_per_capita" tableColumnId="18"/>
      <queryTableField id="19" name="coal_electricity" tableColumnId="19"/>
      <queryTableField id="20" name="coal_prod_change_pct" tableColumnId="20"/>
      <queryTableField id="21" name="coal_prod_change_twh" tableColumnId="21"/>
      <queryTableField id="22" name="coal_prod_per_capita" tableColumnId="22"/>
      <queryTableField id="23" name="coal_production" tableColumnId="23"/>
      <queryTableField id="24" name="coal_share_elec" tableColumnId="24"/>
      <queryTableField id="25" name="coal_share_energy" tableColumnId="25"/>
      <queryTableField id="26" name="electricity_demand" tableColumnId="26"/>
      <queryTableField id="27" name="electricity_generation" tableColumnId="27"/>
      <queryTableField id="28" name="electricity_share_energy" tableColumnId="28"/>
      <queryTableField id="29" name="energy_cons_change_pct" tableColumnId="29"/>
      <queryTableField id="30" name="energy_cons_change_twh" tableColumnId="30"/>
      <queryTableField id="31" name="energy_per_capita" tableColumnId="31"/>
      <queryTableField id="32" name="energy_per_gdp" tableColumnId="32"/>
      <queryTableField id="33" name="fossil_cons_change_pct" tableColumnId="33"/>
      <queryTableField id="34" name="fossil_cons_change_twh" tableColumnId="34"/>
      <queryTableField id="35" name="fossil_elec_per_capita" tableColumnId="35"/>
      <queryTableField id="36" name="fossil_electricity" tableColumnId="36"/>
      <queryTableField id="37" name="fossil_energy_per_capita" tableColumnId="37"/>
      <queryTableField id="38" name="fossil_fuel_consumption" tableColumnId="38"/>
      <queryTableField id="39" name="fossil_share_elec" tableColumnId="39"/>
      <queryTableField id="40" name="fossil_share_energy" tableColumnId="40"/>
      <queryTableField id="41" name="gas_cons_change_pct" tableColumnId="41"/>
      <queryTableField id="42" name="gas_cons_change_twh" tableColumnId="42"/>
      <queryTableField id="43" name="gas_consumption" tableColumnId="43"/>
      <queryTableField id="44" name="gas_elec_per_capita" tableColumnId="44"/>
      <queryTableField id="45" name="gas_electricity" tableColumnId="45"/>
      <queryTableField id="46" name="gas_energy_per_capita" tableColumnId="46"/>
      <queryTableField id="47" name="gas_prod_change_pct" tableColumnId="47"/>
      <queryTableField id="48" name="gas_prod_change_twh" tableColumnId="48"/>
      <queryTableField id="49" name="gas_prod_per_capita" tableColumnId="49"/>
      <queryTableField id="50" name="gas_production" tableColumnId="50"/>
      <queryTableField id="51" name="gas_share_elec" tableColumnId="51"/>
      <queryTableField id="52" name="gas_share_energy" tableColumnId="52"/>
      <queryTableField id="53" name="greenhouse_gas_emissions" tableColumnId="53"/>
      <queryTableField id="54" name="hydro_cons_change_pct" tableColumnId="54"/>
      <queryTableField id="55" name="hydro_cons_change_twh" tableColumnId="55"/>
      <queryTableField id="56" name="hydro_consumption" tableColumnId="56"/>
      <queryTableField id="57" name="hydro_elec_per_capita" tableColumnId="57"/>
      <queryTableField id="58" name="hydro_electricity" tableColumnId="58"/>
      <queryTableField id="59" name="hydro_energy_per_capita" tableColumnId="59"/>
      <queryTableField id="60" name="hydro_share_elec" tableColumnId="60"/>
      <queryTableField id="61" name="hydro_share_energy" tableColumnId="61"/>
      <queryTableField id="62" name="low_carbon_cons_change_pct" tableColumnId="62"/>
      <queryTableField id="63" name="low_carbon_cons_change_twh" tableColumnId="63"/>
      <queryTableField id="64" name="low_carbon_consumption" tableColumnId="64"/>
      <queryTableField id="65" name="low_carbon_elec_per_capita" tableColumnId="65"/>
      <queryTableField id="66" name="low_carbon_electricity" tableColumnId="66"/>
      <queryTableField id="67" name="low_carbon_energy_per_capita" tableColumnId="67"/>
      <queryTableField id="68" name="low_carbon_share_elec" tableColumnId="68"/>
      <queryTableField id="69" name="low_carbon_share_energy" tableColumnId="69"/>
      <queryTableField id="70" name="net_elec_imports" tableColumnId="70"/>
      <queryTableField id="71" name="net_elec_imports_share_demand" tableColumnId="71"/>
      <queryTableField id="72" name="nuclear_cons_change_pct" tableColumnId="72"/>
      <queryTableField id="73" name="nuclear_cons_change_twh" tableColumnId="73"/>
      <queryTableField id="74" name="nuclear_consumption" tableColumnId="74"/>
      <queryTableField id="75" name="nuclear_elec_per_capita" tableColumnId="75"/>
      <queryTableField id="76" name="nuclear_electricity" tableColumnId="76"/>
      <queryTableField id="77" name="nuclear_energy_per_capita" tableColumnId="77"/>
      <queryTableField id="78" name="nuclear_share_elec" tableColumnId="78"/>
      <queryTableField id="79" name="nuclear_share_energy" tableColumnId="79"/>
      <queryTableField id="80" name="oil_cons_change_pct" tableColumnId="80"/>
      <queryTableField id="81" name="oil_cons_change_twh" tableColumnId="81"/>
      <queryTableField id="82" name="oil_consumption" tableColumnId="82"/>
      <queryTableField id="83" name="oil_elec_per_capita" tableColumnId="83"/>
      <queryTableField id="84" name="oil_electricity" tableColumnId="84"/>
      <queryTableField id="85" name="oil_energy_per_capita" tableColumnId="85"/>
      <queryTableField id="86" name="oil_prod_change_pct" tableColumnId="86"/>
      <queryTableField id="87" name="oil_prod_change_twh" tableColumnId="87"/>
      <queryTableField id="88" name="oil_prod_per_capita" tableColumnId="88"/>
      <queryTableField id="89" name="oil_production" tableColumnId="89"/>
      <queryTableField id="90" name="oil_share_elec" tableColumnId="90"/>
      <queryTableField id="91" name="oil_share_energy" tableColumnId="91"/>
      <queryTableField id="92" name="other_renewable_consumption" tableColumnId="92"/>
      <queryTableField id="93" name="other_renewable_electricity" tableColumnId="93"/>
      <queryTableField id="94" name="other_renewable_exc_biofuel_electricity" tableColumnId="94"/>
      <queryTableField id="95" name="other_renewables_cons_change_pct" tableColumnId="95"/>
      <queryTableField id="96" name="other_renewables_cons_change_twh" tableColumnId="96"/>
      <queryTableField id="97" name="other_renewables_elec_per_capita" tableColumnId="97"/>
      <queryTableField id="98" name="other_renewables_elec_per_capita_exc_biofuel" tableColumnId="98"/>
      <queryTableField id="99" name="other_renewables_energy_per_capita" tableColumnId="99"/>
      <queryTableField id="100" name="other_renewables_share_elec" tableColumnId="100"/>
      <queryTableField id="101" name="other_renewables_share_elec_exc_biofuel" tableColumnId="101"/>
      <queryTableField id="102" name="other_renewables_share_energy" tableColumnId="102"/>
      <queryTableField id="103" name="per_capita_electricity" tableColumnId="103"/>
      <queryTableField id="104" name="primary_energy_consumption" tableColumnId="104"/>
      <queryTableField id="105" name="renewables_cons_change_pct" tableColumnId="105"/>
      <queryTableField id="106" name="renewables_cons_change_twh" tableColumnId="106"/>
      <queryTableField id="107" name="renewables_consumption" tableColumnId="107"/>
      <queryTableField id="108" name="renewables_elec_per_capita" tableColumnId="108"/>
      <queryTableField id="109" name="renewables_electricity" tableColumnId="109"/>
      <queryTableField id="110" name="renewables_energy_per_capita" tableColumnId="110"/>
      <queryTableField id="111" name="renewables_share_elec" tableColumnId="111"/>
      <queryTableField id="112" name="renewables_share_energy" tableColumnId="112"/>
      <queryTableField id="113" name="solar_cons_change_pct" tableColumnId="113"/>
      <queryTableField id="114" name="solar_cons_change_twh" tableColumnId="114"/>
      <queryTableField id="115" name="solar_consumption" tableColumnId="115"/>
      <queryTableField id="116" name="solar_elec_per_capita" tableColumnId="116"/>
      <queryTableField id="117" name="solar_electricity" tableColumnId="117"/>
      <queryTableField id="118" name="solar_energy_per_capita" tableColumnId="118"/>
      <queryTableField id="119" name="solar_share_elec" tableColumnId="119"/>
      <queryTableField id="120" name="solar_share_energy" tableColumnId="120"/>
      <queryTableField id="121" name="wind_cons_change_pct" tableColumnId="121"/>
      <queryTableField id="122" name="wind_cons_change_twh" tableColumnId="122"/>
      <queryTableField id="123" name="wind_consumption" tableColumnId="123"/>
      <queryTableField id="124" name="wind_elec_per_capita" tableColumnId="124"/>
      <queryTableField id="125" name="wind_electricity" tableColumnId="125"/>
      <queryTableField id="126" name="wind_energy_per_capita" tableColumnId="126"/>
      <queryTableField id="127" name="wind_share_elec" tableColumnId="127"/>
      <queryTableField id="128" name="wind_share_energy" tableColumnId="1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A1A8E0-1C51-49E4-A9BF-3CC3F41D9616}" name="owid_energy_codebook" displayName="owid_energy_codebook" ref="A1:D28" tableType="queryTable" totalsRowShown="0">
  <autoFilter ref="A1:D28" xr:uid="{30A1A8E0-1C51-49E4-A9BF-3CC3F41D9616}">
    <filterColumn colId="0">
      <filters>
        <filter val="low_carbon_cons_change_pct"/>
        <filter val="low_carbon_cons_change_twh"/>
        <filter val="low_carbon_consumption"/>
        <filter val="low_carbon_elec_per_capita"/>
        <filter val="low_carbon_electricity"/>
        <filter val="low_carbon_energy_per_capita"/>
        <filter val="low_carbon_share_elec"/>
        <filter val="low_carbon_share_energy"/>
      </filters>
    </filterColumn>
  </autoFilter>
  <tableColumns count="4">
    <tableColumn id="1" xr3:uid="{62F23D32-ED47-4137-B797-B24434EBBFBF}" uniqueName="1" name="column" queryTableFieldId="1" dataDxfId="18"/>
    <tableColumn id="2" xr3:uid="{886A14BC-7C86-4C7B-A323-1DBFB7524EE0}" uniqueName="2" name="description" queryTableFieldId="2" dataDxfId="17"/>
    <tableColumn id="3" xr3:uid="{C973DE6F-5F2B-4B15-A9F0-EB8881D1DC60}" uniqueName="3" name="unit" queryTableFieldId="3" dataDxfId="16"/>
    <tableColumn id="4" xr3:uid="{CEA9EA3A-E654-4806-B2BB-C977886C357A}" uniqueName="4" name="source" queryTableFieldId="4" dataDxf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19C025E-FA4F-406D-B77F-9912D691A165}" name="Tabelle_Energy" displayName="Tabelle_Energy" ref="A1:DZ63" tableType="queryTable" totalsRowShown="0" headerRowDxfId="14">
  <autoFilter ref="A1:DZ63" xr:uid="{C19C025E-FA4F-406D-B77F-9912D691A165}"/>
  <sortState xmlns:xlrd2="http://schemas.microsoft.com/office/spreadsheetml/2017/richdata2" ref="A2:DZ63">
    <sortCondition ref="B1:B63"/>
  </sortState>
  <tableColumns count="130">
    <tableColumn id="1" xr3:uid="{D8B8E850-0A47-4EA8-8F38-275A648DD89B}" uniqueName="1" name="country" queryTableFieldId="1" dataDxfId="13" totalsRowDxfId="12"/>
    <tableColumn id="2" xr3:uid="{93D10BE0-C4FB-4657-9DF5-A1A558C5E21B}" uniqueName="2" name="year" queryTableFieldId="2"/>
    <tableColumn id="129" xr3:uid="{588EA5E7-FB3D-4E5D-8D9D-B57A910DF385}" uniqueName="129" name="iso_code" queryTableFieldId="129" dataDxfId="11" totalsRowDxfId="10"/>
    <tableColumn id="3" xr3:uid="{79C9759B-3259-436E-9FEE-FCAA3CF683CF}" uniqueName="3" name="population" queryTableFieldId="3" dataDxfId="4" totalsRowDxfId="9"/>
    <tableColumn id="131" xr3:uid="{927334C2-5A75-4924-8775-65B10D7C179D}" uniqueName="131" name="gdp" queryTableFieldId="133" dataDxfId="3" totalsRowDxfId="8"/>
    <tableColumn id="132" xr3:uid="{FCAF9EE0-C8B1-4C91-99E7-E67E3AA61680}" uniqueName="132" name="gdp_million_usd" queryTableFieldId="134" dataDxfId="2" totalsRowDxfId="7"/>
    <tableColumn id="5" xr3:uid="{6741DAA8-BCFA-4375-BD02-FC3C055927B2}" uniqueName="5" name="biofuel_cons_change_pct" queryTableFieldId="5" dataCellStyle="Prozent"/>
    <tableColumn id="6" xr3:uid="{21A1DFA7-C449-4D0D-8C5D-B8401422406D}" uniqueName="6" name="biofuel_cons_change_twh" queryTableFieldId="6"/>
    <tableColumn id="7" xr3:uid="{522B00CE-0EA3-48EF-9C1A-977E2CC4DCAD}" uniqueName="7" name="biofuel_cons_per_capita" queryTableFieldId="7"/>
    <tableColumn id="8" xr3:uid="{04649EC7-DE26-4192-A0CA-8E951D55FCF4}" uniqueName="8" name="biofuel_consumption" queryTableFieldId="8"/>
    <tableColumn id="9" xr3:uid="{5DE0AE4E-F274-4592-8B3E-1D2885890E11}" uniqueName="9" name="biofuel_elec_per_capita" queryTableFieldId="9"/>
    <tableColumn id="10" xr3:uid="{CCC00C01-B6AF-4BB3-AA2F-106E8F6C7624}" uniqueName="10" name="biofuel_electricity" queryTableFieldId="10"/>
    <tableColumn id="11" xr3:uid="{E21B164C-5465-4B28-B2BA-2E278A686B58}" uniqueName="11" name="biofuel_share_elec" queryTableFieldId="11" dataCellStyle="Prozent"/>
    <tableColumn id="12" xr3:uid="{778DC12A-5F2E-436F-8DE2-10E62CC3EA8F}" uniqueName="12" name="biofuel_share_energy" queryTableFieldId="12" dataCellStyle="Prozent"/>
    <tableColumn id="13" xr3:uid="{1D8886D8-F6EB-4D3D-8A2A-C28D5BBC4A30}" uniqueName="13" name="carbon_intensity_elec" queryTableFieldId="13"/>
    <tableColumn id="14" xr3:uid="{36D5E2C1-115F-4902-B0F3-C4D134EE6A3E}" uniqueName="14" name="coal_cons_change_pct" queryTableFieldId="14" dataCellStyle="Prozent"/>
    <tableColumn id="15" xr3:uid="{A4E084A0-637E-4950-A569-FA5927B1E90D}" uniqueName="15" name="coal_cons_change_twh" queryTableFieldId="15"/>
    <tableColumn id="16" xr3:uid="{0355340B-6828-44E4-A40F-0036DBE7CDFF}" uniqueName="16" name="coal_cons_per_capita" queryTableFieldId="16"/>
    <tableColumn id="17" xr3:uid="{7F5D8578-B776-4AB6-8CD8-A5A89437414F}" uniqueName="17" name="coal_consumption" queryTableFieldId="17"/>
    <tableColumn id="18" xr3:uid="{1EBCE6AC-EEDA-4511-AF70-BFD236A0A56C}" uniqueName="18" name="coal_elec_per_capita" queryTableFieldId="18"/>
    <tableColumn id="19" xr3:uid="{9226B5DA-C025-4342-874F-B2F54B6A53B0}" uniqueName="19" name="coal_electricity" queryTableFieldId="19"/>
    <tableColumn id="20" xr3:uid="{FAD3213B-AB1F-4150-88F4-74E4E0CD5F2C}" uniqueName="20" name="coal_prod_change_pct" queryTableFieldId="20" dataCellStyle="Prozent"/>
    <tableColumn id="21" xr3:uid="{D26A3360-9505-4902-817B-C94980F09D6E}" uniqueName="21" name="coal_prod_change_twh" queryTableFieldId="21"/>
    <tableColumn id="22" xr3:uid="{AFA2A2C3-54BD-48CA-9A44-9F8BAA606C78}" uniqueName="22" name="coal_prod_per_capita" queryTableFieldId="22"/>
    <tableColumn id="23" xr3:uid="{C9B9BCA6-AF9F-4EA2-9D76-1500BE64281A}" uniqueName="23" name="coal_production" queryTableFieldId="23"/>
    <tableColumn id="24" xr3:uid="{3612E3BD-5820-4E2B-997E-7B244F7E5799}" uniqueName="24" name="coal_share_elec" queryTableFieldId="24" dataCellStyle="Prozent"/>
    <tableColumn id="25" xr3:uid="{7D1C77FD-63F6-45F9-80AA-FC6D38BAFB32}" uniqueName="25" name="coal_share_energy" queryTableFieldId="25" dataCellStyle="Prozent"/>
    <tableColumn id="26" xr3:uid="{CF236D27-B2E1-497E-B7EA-D3D26E008ABA}" uniqueName="26" name="electricity_demand" queryTableFieldId="26"/>
    <tableColumn id="27" xr3:uid="{7821211B-BC47-40B9-A8B9-6C34FA6CC956}" uniqueName="27" name="electricity_generation" queryTableFieldId="27"/>
    <tableColumn id="28" xr3:uid="{46B9A2BB-86B4-42C4-BB35-683608E02027}" uniqueName="28" name="electricity_share_energy" queryTableFieldId="28" dataCellStyle="Prozent"/>
    <tableColumn id="29" xr3:uid="{E2721BEC-A5F1-48BA-9CD6-E69DA2CB5C59}" uniqueName="29" name="energy_cons_change_pct" queryTableFieldId="29" dataCellStyle="Prozent"/>
    <tableColumn id="30" xr3:uid="{85D311A1-B18C-4FF6-818A-48162D940003}" uniqueName="30" name="energy_cons_change_twh" queryTableFieldId="30"/>
    <tableColumn id="31" xr3:uid="{1789E9C9-7B54-413C-8EC7-BAB13598AAE6}" uniqueName="31" name="energy_per_capita" queryTableFieldId="31"/>
    <tableColumn id="32" xr3:uid="{B0D4B496-1CA4-4D0A-8308-373795D0C797}" uniqueName="32" name="energy_per_gdp" queryTableFieldId="32"/>
    <tableColumn id="33" xr3:uid="{27730339-0BCD-4465-9B93-3B21A9710081}" uniqueName="33" name="fossil_cons_change_pct" queryTableFieldId="33" dataCellStyle="Prozent"/>
    <tableColumn id="34" xr3:uid="{749EBB92-03B9-4251-BC3F-B5C5AC587571}" uniqueName="34" name="fossil_cons_change_twh" queryTableFieldId="34"/>
    <tableColumn id="35" xr3:uid="{A690D5C5-A8D2-46F6-8DAD-1CC745ED7A74}" uniqueName="35" name="fossil_elec_per_capita" queryTableFieldId="35"/>
    <tableColumn id="36" xr3:uid="{C77FA865-13F9-4765-8545-F31810252012}" uniqueName="36" name="fossil_electricity" queryTableFieldId="36"/>
    <tableColumn id="37" xr3:uid="{CC0E41E8-4C35-402C-8C69-4547165E15BC}" uniqueName="37" name="fossil_energy_per_capita" queryTableFieldId="37"/>
    <tableColumn id="38" xr3:uid="{ACB8F1C9-308F-4DE6-9FFB-19C341BD1069}" uniqueName="38" name="fossil_fuel_consumption" queryTableFieldId="38"/>
    <tableColumn id="39" xr3:uid="{5E907987-74BA-440C-8774-A5863248809A}" uniqueName="39" name="fossil_share_elec" queryTableFieldId="39" dataCellStyle="Prozent"/>
    <tableColumn id="40" xr3:uid="{6448815C-9D3D-4716-BEE5-C31A7295F353}" uniqueName="40" name="fossil_share_energy" queryTableFieldId="40" dataCellStyle="Prozent"/>
    <tableColumn id="41" xr3:uid="{861B6D67-2C75-42EE-AF65-EBFA5448C4C5}" uniqueName="41" name="gas_cons_change_pct" queryTableFieldId="41" dataCellStyle="Prozent"/>
    <tableColumn id="42" xr3:uid="{C6D628D3-992B-4DA1-9726-C346A9A7F9E6}" uniqueName="42" name="gas_cons_change_twh" queryTableFieldId="42"/>
    <tableColumn id="43" xr3:uid="{78F7A6F2-B8E8-4B03-B216-67B5EBF9D423}" uniqueName="43" name="gas_consumption" queryTableFieldId="43"/>
    <tableColumn id="44" xr3:uid="{D0C8E76F-4848-419D-908E-4B3DCB0D055A}" uniqueName="44" name="gas_elec_per_capita" queryTableFieldId="44"/>
    <tableColumn id="45" xr3:uid="{4CF274B9-04C1-4F3D-89C4-4841E4C6C1C1}" uniqueName="45" name="gas_electricity" queryTableFieldId="45"/>
    <tableColumn id="46" xr3:uid="{BD223382-F3D2-4383-98F2-78916AA9AD91}" uniqueName="46" name="gas_energy_per_capita" queryTableFieldId="46"/>
    <tableColumn id="47" xr3:uid="{746AFD6B-6519-45B7-91DF-70E331CA782F}" uniqueName="47" name="gas_prod_change_pct" queryTableFieldId="47" dataCellStyle="Prozent"/>
    <tableColumn id="48" xr3:uid="{0368A111-936F-4EE9-BF30-ED6633E20C5A}" uniqueName="48" name="gas_prod_change_twh" queryTableFieldId="48"/>
    <tableColumn id="49" xr3:uid="{2A42477A-B621-40B6-BA73-F79311A1DEE2}" uniqueName="49" name="gas_prod_per_capita" queryTableFieldId="49"/>
    <tableColumn id="50" xr3:uid="{EF96CA69-C761-47B8-903B-CF0AC8A789D4}" uniqueName="50" name="gas_production" queryTableFieldId="50"/>
    <tableColumn id="51" xr3:uid="{815D1042-0267-476C-9790-31E940E1DC64}" uniqueName="51" name="gas_share_elec" queryTableFieldId="51" dataCellStyle="Prozent"/>
    <tableColumn id="52" xr3:uid="{22DB901A-CCA4-481D-822A-29E0975BB8D3}" uniqueName="52" name="gas_share_energy" queryTableFieldId="52" dataCellStyle="Prozent"/>
    <tableColumn id="53" xr3:uid="{586A1252-676B-41BC-8C69-1BD442F31DE4}" uniqueName="53" name="greenhouse_gas_emissions" queryTableFieldId="53"/>
    <tableColumn id="54" xr3:uid="{76AB4769-FFB9-411D-A8A1-AD093AFC309D}" uniqueName="54" name="hydro_cons_change_pct" queryTableFieldId="54" dataCellStyle="Prozent"/>
    <tableColumn id="55" xr3:uid="{5EDF3C80-31E1-4832-B1FE-A3A3DFC8DF3B}" uniqueName="55" name="hydro_cons_change_twh" queryTableFieldId="55"/>
    <tableColumn id="56" xr3:uid="{65537009-4B5A-44DF-946A-C5CE4E45D6A4}" uniqueName="56" name="hydro_consumption" queryTableFieldId="56"/>
    <tableColumn id="57" xr3:uid="{4C8A460C-AC99-471B-B87A-E17D147F3599}" uniqueName="57" name="hydro_elec_per_capita" queryTableFieldId="57"/>
    <tableColumn id="58" xr3:uid="{9B5563FA-6034-48B0-913A-7FB586C3C61F}" uniqueName="58" name="hydro_electricity" queryTableFieldId="58"/>
    <tableColumn id="59" xr3:uid="{205FC0B2-E44A-44CD-8929-AA85E29A767E}" uniqueName="59" name="hydro_energy_per_capita" queryTableFieldId="59"/>
    <tableColumn id="60" xr3:uid="{7A82B55C-2EE1-49BF-8EE6-2E297186EAD5}" uniqueName="60" name="hydro_share_elec" queryTableFieldId="60" dataCellStyle="Prozent"/>
    <tableColumn id="61" xr3:uid="{17437A2F-ACD4-44AD-9E12-4639C99B2A0D}" uniqueName="61" name="hydro_share_energy" queryTableFieldId="61" dataCellStyle="Prozent"/>
    <tableColumn id="62" xr3:uid="{5B893708-80AE-40DE-B9AC-2DEBC727B3FF}" uniqueName="62" name="low_carbon_cons_change_pct" queryTableFieldId="62" dataCellStyle="Prozent"/>
    <tableColumn id="63" xr3:uid="{94721D05-75B4-4EE5-BA5E-EAE344D76F1B}" uniqueName="63" name="low_carbon_cons_change_twh" queryTableFieldId="63"/>
    <tableColumn id="64" xr3:uid="{12E5451C-FE26-4006-BBD0-F7307825C3FC}" uniqueName="64" name="low_carbon_consumption" queryTableFieldId="64"/>
    <tableColumn id="65" xr3:uid="{5201DD0C-249A-49BC-8BC5-B8222AAD46C6}" uniqueName="65" name="low_carbon_elec_per_capita" queryTableFieldId="65"/>
    <tableColumn id="66" xr3:uid="{752FF842-ED87-4F5C-A234-251C31A72163}" uniqueName="66" name="low_carbon_electricity" queryTableFieldId="66"/>
    <tableColumn id="67" xr3:uid="{512610A1-8155-4963-A4B5-4BB7C2505CBB}" uniqueName="67" name="low_carbon_energy_per_capita" queryTableFieldId="67"/>
    <tableColumn id="68" xr3:uid="{9EB49EB3-071A-4B1B-A173-397AF5423C3C}" uniqueName="68" name="low_carbon_share_elec" queryTableFieldId="68" dataCellStyle="Prozent"/>
    <tableColumn id="69" xr3:uid="{AA9B0B4C-7183-4AAA-97CE-537F74EA00AD}" uniqueName="69" name="low_carbon_share_energy" queryTableFieldId="69" dataCellStyle="Prozent"/>
    <tableColumn id="70" xr3:uid="{5277BDFD-8EA9-4670-A030-85124C02B146}" uniqueName="70" name="net_elec_imports" queryTableFieldId="70"/>
    <tableColumn id="71" xr3:uid="{3AD2CB93-3702-46DF-B755-A67509EFB169}" uniqueName="71" name="net_elec_imports_share_demand" queryTableFieldId="71" dataCellStyle="Prozent"/>
    <tableColumn id="72" xr3:uid="{6AB49CDA-7535-4702-9A8F-A3A0620DBEE8}" uniqueName="72" name="nuclear_cons_change_pct" queryTableFieldId="72" dataCellStyle="Prozent"/>
    <tableColumn id="73" xr3:uid="{8AD6A266-F7BA-42B0-82F1-42CEC9E656FC}" uniqueName="73" name="nuclear_cons_change_twh" queryTableFieldId="73"/>
    <tableColumn id="74" xr3:uid="{3554E709-344C-4AAF-95C6-9FFD8AA4517C}" uniqueName="74" name="nuclear_consumption" queryTableFieldId="74"/>
    <tableColumn id="75" xr3:uid="{5790D8ED-A84C-4B99-9F26-832406A7EFDE}" uniqueName="75" name="nuclear_elec_per_capita" queryTableFieldId="75"/>
    <tableColumn id="76" xr3:uid="{7B35BBB6-02EE-4378-88BD-AECA93934768}" uniqueName="76" name="nuclear_electricity" queryTableFieldId="76"/>
    <tableColumn id="77" xr3:uid="{9B3B4922-E78D-4797-8F6A-C55C8B8CD478}" uniqueName="77" name="nuclear_energy_per_capita" queryTableFieldId="77"/>
    <tableColumn id="78" xr3:uid="{EF055821-6EE6-4A95-B438-6BADD7F2FA68}" uniqueName="78" name="nuclear_share_elec" queryTableFieldId="78" dataCellStyle="Prozent"/>
    <tableColumn id="79" xr3:uid="{A7052CF7-3499-409A-9BFA-EB5BF2F7631B}" uniqueName="79" name="nuclear_share_energy" queryTableFieldId="79" dataCellStyle="Prozent"/>
    <tableColumn id="80" xr3:uid="{B804378D-0B2B-4BD8-94FF-70568B3ACF06}" uniqueName="80" name="oil_cons_change_pct" queryTableFieldId="80" dataCellStyle="Prozent"/>
    <tableColumn id="81" xr3:uid="{D4394B9C-7AC4-4218-9E6F-D5B54F6F3738}" uniqueName="81" name="oil_cons_change_twh" queryTableFieldId="81"/>
    <tableColumn id="82" xr3:uid="{6519EC54-568C-4D59-A24D-29337143D1B7}" uniqueName="82" name="oil_consumption" queryTableFieldId="82"/>
    <tableColumn id="83" xr3:uid="{CD2DD4EA-68E1-42A4-888B-3F474CF68546}" uniqueName="83" name="oil_elec_per_capita" queryTableFieldId="83"/>
    <tableColumn id="84" xr3:uid="{A70FC281-4EF8-41EA-B93A-D8F8BC736DFB}" uniqueName="84" name="oil_electricity" queryTableFieldId="84"/>
    <tableColumn id="85" xr3:uid="{085A0BD4-8751-4AD3-B8FB-CA800D6DAA2B}" uniqueName="85" name="oil_energy_per_capita" queryTableFieldId="85"/>
    <tableColumn id="86" xr3:uid="{8165A5A5-671B-45E0-ABC3-EFF52415BBBF}" uniqueName="86" name="oil_prod_change_pct" queryTableFieldId="86" dataCellStyle="Prozent"/>
    <tableColumn id="87" xr3:uid="{AA0FCD96-5169-48ED-8B8A-04B2F443E55A}" uniqueName="87" name="oil_prod_change_twh" queryTableFieldId="87"/>
    <tableColumn id="88" xr3:uid="{90D40FC3-A992-49E6-B249-5A89A7E373F1}" uniqueName="88" name="oil_prod_per_capita" queryTableFieldId="88"/>
    <tableColumn id="89" xr3:uid="{E10E9079-8178-48E9-A522-03BFE43EF431}" uniqueName="89" name="oil_production" queryTableFieldId="89"/>
    <tableColumn id="90" xr3:uid="{2EFA8804-1DB7-49D1-830E-24BE7B5916B6}" uniqueName="90" name="oil_share_elec" queryTableFieldId="90" dataCellStyle="Prozent"/>
    <tableColumn id="91" xr3:uid="{C667310F-5763-4B5C-A49D-D49D4091BBCC}" uniqueName="91" name="oil_share_energy" queryTableFieldId="91" dataCellStyle="Prozent"/>
    <tableColumn id="92" xr3:uid="{94303944-07EC-4EB3-8393-53BBCFA4B260}" uniqueName="92" name="other_renewable_consumption" queryTableFieldId="92"/>
    <tableColumn id="93" xr3:uid="{60CB24A8-6DBA-46E4-B3F5-C39470CD47C2}" uniqueName="93" name="other_renewable_electricity" queryTableFieldId="93"/>
    <tableColumn id="94" xr3:uid="{824DF372-F4BA-4594-8245-B32B2345927B}" uniqueName="94" name="other_renewable_exc_biofuel_electricity" queryTableFieldId="94"/>
    <tableColumn id="95" xr3:uid="{5EF6173D-8A9A-4E77-8901-50AE16983F6F}" uniqueName="95" name="other_renewables_cons_change_pct" queryTableFieldId="95" dataCellStyle="Prozent"/>
    <tableColumn id="96" xr3:uid="{A66B358B-8FD3-4D6A-82CE-CC0C707AA520}" uniqueName="96" name="other_renewables_cons_change_twh" queryTableFieldId="96"/>
    <tableColumn id="97" xr3:uid="{F53DACCA-6023-4F55-8656-CFF7E544753E}" uniqueName="97" name="other_renewables_elec_per_capita" queryTableFieldId="97"/>
    <tableColumn id="98" xr3:uid="{82451BA2-0DEF-4827-943A-A5867BA4C20E}" uniqueName="98" name="other_renewables_elec_per_capita_exc_biofuel" queryTableFieldId="98"/>
    <tableColumn id="99" xr3:uid="{963142FA-D450-4CF7-83EE-094DC5349BBA}" uniqueName="99" name="other_renewables_energy_per_capita" queryTableFieldId="99"/>
    <tableColumn id="100" xr3:uid="{F87BF568-9BA7-4A72-969C-EDAF7D9D9679}" uniqueName="100" name="other_renewables_share_elec" queryTableFieldId="100" dataCellStyle="Prozent"/>
    <tableColumn id="101" xr3:uid="{9C9C6D0F-BF1B-4CEE-B6E1-51F8E55510FD}" uniqueName="101" name="other_renewables_share_elec_exc_biofuel" queryTableFieldId="101" dataCellStyle="Prozent"/>
    <tableColumn id="102" xr3:uid="{85395AC5-3FBB-4614-8932-3F55DC984250}" uniqueName="102" name="other_renewables_share_energy" queryTableFieldId="102" dataCellStyle="Prozent"/>
    <tableColumn id="103" xr3:uid="{E2FD753C-DE2B-41A6-A626-2DAF18ED5854}" uniqueName="103" name="per_capita_electricity" queryTableFieldId="103"/>
    <tableColumn id="104" xr3:uid="{989928EE-104B-4D34-83D2-6C447E1B9B54}" uniqueName="104" name="primary_energy_consumption" queryTableFieldId="104"/>
    <tableColumn id="105" xr3:uid="{20F55CB7-7A07-4E3B-B434-678FB3E553B7}" uniqueName="105" name="renewables_cons_change_pct" queryTableFieldId="105" dataCellStyle="Prozent"/>
    <tableColumn id="106" xr3:uid="{16393262-BEA6-4C02-BA43-A5D56DDEF8A9}" uniqueName="106" name="renewables_cons_change_twh" queryTableFieldId="106"/>
    <tableColumn id="107" xr3:uid="{6EAE75E6-BBA4-4C1E-ABFA-C58B60644801}" uniqueName="107" name="renewables_consumption" queryTableFieldId="107"/>
    <tableColumn id="108" xr3:uid="{19DF0F1F-3EB3-4331-989A-20967852BB56}" uniqueName="108" name="renewables_elec_per_capita" queryTableFieldId="108"/>
    <tableColumn id="109" xr3:uid="{373CC52A-206F-44B4-AA3E-6F3134AED311}" uniqueName="109" name="renewables_electricity" queryTableFieldId="109"/>
    <tableColumn id="110" xr3:uid="{084798AF-38F9-4C5C-845A-F2841B007350}" uniqueName="110" name="renewables_energy_per_capita" queryTableFieldId="110"/>
    <tableColumn id="111" xr3:uid="{81EAADC5-3D2A-4AA7-B67F-D339298E0111}" uniqueName="111" name="renewables_share_elec" queryTableFieldId="111" dataCellStyle="Prozent"/>
    <tableColumn id="112" xr3:uid="{3C8050F8-9D46-46E6-B5C5-A67759496FD1}" uniqueName="112" name="renewables_share_energy" queryTableFieldId="112" dataCellStyle="Prozent"/>
    <tableColumn id="113" xr3:uid="{66309197-C67F-4AA8-ABF1-DDA27F4AC9C8}" uniqueName="113" name="solar_cons_change_pct" queryTableFieldId="113" dataCellStyle="Prozent"/>
    <tableColumn id="114" xr3:uid="{724D105C-EFF9-416E-94BA-5E35DF93F462}" uniqueName="114" name="solar_cons_change_twh" queryTableFieldId="114"/>
    <tableColumn id="115" xr3:uid="{1B23F713-BBFA-4AEB-B273-64CED10A8CC1}" uniqueName="115" name="solar_consumption" queryTableFieldId="115"/>
    <tableColumn id="116" xr3:uid="{A44B3601-1CD7-4FF3-B2E1-8ED03BA2F0A2}" uniqueName="116" name="solar_elec_per_capita" queryTableFieldId="116"/>
    <tableColumn id="117" xr3:uid="{A8603B36-0BDA-485F-8A89-35628A7C5E6C}" uniqueName="117" name="solar_electricity" queryTableFieldId="117"/>
    <tableColumn id="118" xr3:uid="{8E1F47F8-DBE3-4DCF-826A-45AD7E3F2231}" uniqueName="118" name="solar_energy_per_capita" queryTableFieldId="118"/>
    <tableColumn id="119" xr3:uid="{4A2EF9FE-D6C2-49A3-AF42-115848DED058}" uniqueName="119" name="solar_share_elec" queryTableFieldId="119" dataCellStyle="Prozent"/>
    <tableColumn id="120" xr3:uid="{F6A52DB9-6F49-4DE3-B671-5F8C14A56255}" uniqueName="120" name="solar_share_energy" queryTableFieldId="120" dataCellStyle="Prozent"/>
    <tableColumn id="121" xr3:uid="{560E9CA1-85E3-4333-9EBE-598B791CECF0}" uniqueName="121" name="wind_cons_change_pct" queryTableFieldId="121" dataCellStyle="Prozent"/>
    <tableColumn id="122" xr3:uid="{AA30CFCB-3930-4300-A46B-4BE81BC2AC0D}" uniqueName="122" name="wind_cons_change_twh" queryTableFieldId="122"/>
    <tableColumn id="123" xr3:uid="{D395A3D0-67BB-4349-A52C-F6F82F784730}" uniqueName="123" name="wind_consumption" queryTableFieldId="123"/>
    <tableColumn id="124" xr3:uid="{C577795E-6C05-42A0-B818-71DFEB465467}" uniqueName="124" name="wind_elec_per_capita" queryTableFieldId="124"/>
    <tableColumn id="125" xr3:uid="{9EB73202-7619-4A2B-8126-2FA3FF425509}" uniqueName="125" name="wind_electricity" queryTableFieldId="125"/>
    <tableColumn id="126" xr3:uid="{20C7019C-427B-4027-B94F-0129138A107A}" uniqueName="126" name="wind_energy_per_capita" queryTableFieldId="126"/>
    <tableColumn id="127" xr3:uid="{4C9429B3-5439-4BFA-AC7D-881778942675}" uniqueName="127" name="wind_share_elec" queryTableFieldId="127" dataCellStyle="Prozent"/>
    <tableColumn id="128" xr3:uid="{481A3E6A-0150-41BC-B1FB-8B8C86E2F518}" uniqueName="128" name="wind_share_energy" queryTableFieldId="128" dataCellStyle="Proz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D6E74AF-4F0C-4915-A28B-0B6F912D64F6}" name="Tabelle4" displayName="Tabelle4" ref="A1:B128" totalsRowShown="0">
  <autoFilter ref="A1:B128" xr:uid="{BD6E74AF-4F0C-4915-A28B-0B6F912D64F6}"/>
  <sortState xmlns:xlrd2="http://schemas.microsoft.com/office/spreadsheetml/2017/richdata2" ref="A2:B128">
    <sortCondition ref="B2:B128"/>
    <sortCondition ref="A2:A128"/>
  </sortState>
  <tableColumns count="2">
    <tableColumn id="1" xr3:uid="{6BDB7F2E-FC71-4E75-84E1-15F789DE69FC}" name="Column names"/>
    <tableColumn id="2" xr3:uid="{A56881CF-4438-4139-8C6E-DE006E653519}" name="Data Completeness" dataDxfId="6" dataCellStyle="Proz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D0C6-005B-4F84-8065-655A435AA809}">
  <dimension ref="A1:D28"/>
  <sheetViews>
    <sheetView workbookViewId="0">
      <selection activeCell="A72" sqref="A72"/>
    </sheetView>
  </sheetViews>
  <sheetFormatPr baseColWidth="10" defaultRowHeight="14.4" x14ac:dyDescent="0.3"/>
  <cols>
    <col min="1" max="1" width="35.109375" bestFit="1" customWidth="1"/>
    <col min="2" max="2" width="80.88671875" bestFit="1" customWidth="1"/>
    <col min="3" max="3" width="6.44140625" bestFit="1" customWidth="1"/>
    <col min="4" max="4" width="80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idden="1" x14ac:dyDescent="0.3">
      <c r="A2" t="s">
        <v>19</v>
      </c>
      <c r="B2" t="s">
        <v>20</v>
      </c>
      <c r="C2" t="s">
        <v>11</v>
      </c>
      <c r="D2" t="s">
        <v>21</v>
      </c>
    </row>
    <row r="3" spans="1:4" hidden="1" x14ac:dyDescent="0.3">
      <c r="A3" t="s">
        <v>22</v>
      </c>
      <c r="B3" t="s">
        <v>23</v>
      </c>
      <c r="C3" t="s">
        <v>11</v>
      </c>
      <c r="D3" t="s">
        <v>12</v>
      </c>
    </row>
    <row r="4" spans="1:4" hidden="1" x14ac:dyDescent="0.3">
      <c r="A4" t="s">
        <v>35</v>
      </c>
      <c r="B4" t="s">
        <v>36</v>
      </c>
      <c r="C4" t="s">
        <v>11</v>
      </c>
      <c r="D4" t="s">
        <v>21</v>
      </c>
    </row>
    <row r="5" spans="1:4" hidden="1" x14ac:dyDescent="0.3">
      <c r="A5" t="s">
        <v>37</v>
      </c>
      <c r="B5" t="s">
        <v>38</v>
      </c>
      <c r="C5" t="s">
        <v>11</v>
      </c>
      <c r="D5" t="s">
        <v>12</v>
      </c>
    </row>
    <row r="6" spans="1:4" hidden="1" x14ac:dyDescent="0.3">
      <c r="A6" t="s">
        <v>41</v>
      </c>
      <c r="B6" t="s">
        <v>42</v>
      </c>
      <c r="C6" t="s">
        <v>11</v>
      </c>
      <c r="D6" t="s">
        <v>21</v>
      </c>
    </row>
    <row r="7" spans="1:4" hidden="1" x14ac:dyDescent="0.3">
      <c r="A7" t="s">
        <v>53</v>
      </c>
      <c r="B7" t="s">
        <v>54</v>
      </c>
      <c r="C7" t="s">
        <v>11</v>
      </c>
      <c r="D7" t="s">
        <v>21</v>
      </c>
    </row>
    <row r="8" spans="1:4" hidden="1" x14ac:dyDescent="0.3">
      <c r="A8" t="s">
        <v>55</v>
      </c>
      <c r="B8" t="s">
        <v>56</v>
      </c>
      <c r="C8" t="s">
        <v>11</v>
      </c>
      <c r="D8" t="s">
        <v>12</v>
      </c>
    </row>
    <row r="9" spans="1:4" hidden="1" x14ac:dyDescent="0.3">
      <c r="A9" t="s">
        <v>67</v>
      </c>
      <c r="B9" t="s">
        <v>68</v>
      </c>
      <c r="C9" t="s">
        <v>11</v>
      </c>
      <c r="D9" t="s">
        <v>21</v>
      </c>
    </row>
    <row r="10" spans="1:4" hidden="1" x14ac:dyDescent="0.3">
      <c r="A10" t="s">
        <v>69</v>
      </c>
      <c r="B10" t="s">
        <v>70</v>
      </c>
      <c r="C10" t="s">
        <v>11</v>
      </c>
      <c r="D10" t="s">
        <v>12</v>
      </c>
    </row>
    <row r="11" spans="1:4" hidden="1" x14ac:dyDescent="0.3">
      <c r="A11" t="s">
        <v>78</v>
      </c>
      <c r="B11" t="s">
        <v>79</v>
      </c>
      <c r="C11" t="s">
        <v>11</v>
      </c>
      <c r="D11" t="s">
        <v>21</v>
      </c>
    </row>
    <row r="12" spans="1:4" hidden="1" x14ac:dyDescent="0.3">
      <c r="A12" t="s">
        <v>80</v>
      </c>
      <c r="B12" t="s">
        <v>81</v>
      </c>
      <c r="C12" t="s">
        <v>11</v>
      </c>
      <c r="D12" t="s">
        <v>12</v>
      </c>
    </row>
    <row r="13" spans="1:4" x14ac:dyDescent="0.3">
      <c r="A13" t="s">
        <v>88</v>
      </c>
      <c r="B13" t="s">
        <v>89</v>
      </c>
      <c r="C13" t="s">
        <v>11</v>
      </c>
      <c r="D13" t="s">
        <v>21</v>
      </c>
    </row>
    <row r="14" spans="1:4" x14ac:dyDescent="0.3">
      <c r="A14" t="s">
        <v>90</v>
      </c>
      <c r="B14" t="s">
        <v>91</v>
      </c>
      <c r="C14" t="s">
        <v>11</v>
      </c>
      <c r="D14" t="s">
        <v>12</v>
      </c>
    </row>
    <row r="15" spans="1:4" hidden="1" x14ac:dyDescent="0.3">
      <c r="A15" t="s">
        <v>93</v>
      </c>
      <c r="B15" t="s">
        <v>94</v>
      </c>
      <c r="C15" t="s">
        <v>11</v>
      </c>
      <c r="D15" t="s">
        <v>18</v>
      </c>
    </row>
    <row r="16" spans="1:4" hidden="1" x14ac:dyDescent="0.3">
      <c r="A16" t="s">
        <v>101</v>
      </c>
      <c r="B16" t="s">
        <v>102</v>
      </c>
      <c r="C16" t="s">
        <v>11</v>
      </c>
      <c r="D16" t="s">
        <v>21</v>
      </c>
    </row>
    <row r="17" spans="1:4" hidden="1" x14ac:dyDescent="0.3">
      <c r="A17" t="s">
        <v>103</v>
      </c>
      <c r="B17" t="s">
        <v>104</v>
      </c>
      <c r="C17" t="s">
        <v>11</v>
      </c>
      <c r="D17" t="s">
        <v>12</v>
      </c>
    </row>
    <row r="18" spans="1:4" hidden="1" x14ac:dyDescent="0.3">
      <c r="A18" t="s">
        <v>115</v>
      </c>
      <c r="B18" t="s">
        <v>116</v>
      </c>
      <c r="C18" t="s">
        <v>11</v>
      </c>
      <c r="D18" t="s">
        <v>21</v>
      </c>
    </row>
    <row r="19" spans="1:4" hidden="1" x14ac:dyDescent="0.3">
      <c r="A19" t="s">
        <v>117</v>
      </c>
      <c r="B19" t="s">
        <v>118</v>
      </c>
      <c r="C19" t="s">
        <v>11</v>
      </c>
      <c r="D19" t="s">
        <v>12</v>
      </c>
    </row>
    <row r="20" spans="1:4" hidden="1" x14ac:dyDescent="0.3">
      <c r="A20" t="s">
        <v>127</v>
      </c>
      <c r="B20" t="s">
        <v>128</v>
      </c>
      <c r="C20" t="s">
        <v>11</v>
      </c>
      <c r="D20" t="s">
        <v>21</v>
      </c>
    </row>
    <row r="21" spans="1:4" hidden="1" x14ac:dyDescent="0.3">
      <c r="A21" t="s">
        <v>129</v>
      </c>
      <c r="B21" t="s">
        <v>130</v>
      </c>
      <c r="C21" t="s">
        <v>11</v>
      </c>
      <c r="D21" t="s">
        <v>21</v>
      </c>
    </row>
    <row r="22" spans="1:4" hidden="1" x14ac:dyDescent="0.3">
      <c r="A22" t="s">
        <v>131</v>
      </c>
      <c r="B22" t="s">
        <v>132</v>
      </c>
      <c r="C22" t="s">
        <v>11</v>
      </c>
      <c r="D22" t="s">
        <v>12</v>
      </c>
    </row>
    <row r="23" spans="1:4" hidden="1" x14ac:dyDescent="0.3">
      <c r="A23" t="s">
        <v>141</v>
      </c>
      <c r="B23" t="s">
        <v>142</v>
      </c>
      <c r="C23" t="s">
        <v>11</v>
      </c>
      <c r="D23" t="s">
        <v>21</v>
      </c>
    </row>
    <row r="24" spans="1:4" hidden="1" x14ac:dyDescent="0.3">
      <c r="A24" t="s">
        <v>143</v>
      </c>
      <c r="B24" t="s">
        <v>144</v>
      </c>
      <c r="C24" t="s">
        <v>11</v>
      </c>
      <c r="D24" t="s">
        <v>12</v>
      </c>
    </row>
    <row r="25" spans="1:4" hidden="1" x14ac:dyDescent="0.3">
      <c r="A25" t="s">
        <v>151</v>
      </c>
      <c r="B25" t="s">
        <v>152</v>
      </c>
      <c r="C25" t="s">
        <v>11</v>
      </c>
      <c r="D25" t="s">
        <v>21</v>
      </c>
    </row>
    <row r="26" spans="1:4" hidden="1" x14ac:dyDescent="0.3">
      <c r="A26" t="s">
        <v>153</v>
      </c>
      <c r="B26" t="s">
        <v>154</v>
      </c>
      <c r="C26" t="s">
        <v>11</v>
      </c>
      <c r="D26" t="s">
        <v>12</v>
      </c>
    </row>
    <row r="27" spans="1:4" hidden="1" x14ac:dyDescent="0.3">
      <c r="A27" t="s">
        <v>161</v>
      </c>
      <c r="B27" t="s">
        <v>162</v>
      </c>
      <c r="C27" t="s">
        <v>11</v>
      </c>
      <c r="D27" t="s">
        <v>21</v>
      </c>
    </row>
    <row r="28" spans="1:4" hidden="1" x14ac:dyDescent="0.3">
      <c r="A28" t="s">
        <v>163</v>
      </c>
      <c r="B28" t="s">
        <v>164</v>
      </c>
      <c r="C28" t="s">
        <v>11</v>
      </c>
      <c r="D28" t="s">
        <v>12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77168-DDCC-431A-8402-495AA7C3727D}">
  <dimension ref="A1:DZ66"/>
  <sheetViews>
    <sheetView zoomScaleNormal="100" workbookViewId="0">
      <pane xSplit="2" ySplit="1" topLeftCell="DT47" activePane="bottomRight" state="frozen"/>
      <selection pane="topRight" activeCell="C1" sqref="C1"/>
      <selection pane="bottomLeft" activeCell="A2" sqref="A2"/>
      <selection pane="bottomRight" activeCell="DY64" sqref="DY64"/>
    </sheetView>
  </sheetViews>
  <sheetFormatPr baseColWidth="10" defaultRowHeight="14.4" x14ac:dyDescent="0.3"/>
  <cols>
    <col min="1" max="1" width="11.77734375" bestFit="1" customWidth="1"/>
    <col min="2" max="2" width="9.109375" bestFit="1" customWidth="1"/>
    <col min="3" max="3" width="12.88671875" bestFit="1" customWidth="1"/>
    <col min="4" max="4" width="14.5546875" style="1" bestFit="1" customWidth="1"/>
    <col min="5" max="5" width="16.33203125" style="1" bestFit="1" customWidth="1"/>
    <col min="6" max="6" width="19" style="1" bestFit="1" customWidth="1"/>
    <col min="7" max="7" width="21.33203125" style="2" bestFit="1" customWidth="1"/>
    <col min="8" max="11" width="21.33203125" bestFit="1" customWidth="1"/>
    <col min="12" max="12" width="20.6640625" bestFit="1" customWidth="1"/>
    <col min="13" max="13" width="21" style="2" bestFit="1" customWidth="1"/>
    <col min="14" max="14" width="21.33203125" style="2" bestFit="1" customWidth="1"/>
    <col min="15" max="15" width="21.33203125" bestFit="1" customWidth="1"/>
    <col min="16" max="16" width="21.33203125" style="2" bestFit="1" customWidth="1"/>
    <col min="17" max="18" width="21.33203125" bestFit="1" customWidth="1"/>
    <col min="19" max="19" width="20.77734375" bestFit="1" customWidth="1"/>
    <col min="20" max="20" width="21.33203125" bestFit="1" customWidth="1"/>
    <col min="21" max="21" width="18.33203125" bestFit="1" customWidth="1"/>
    <col min="22" max="22" width="21.33203125" style="2" bestFit="1" customWidth="1"/>
    <col min="23" max="24" width="21.33203125" bestFit="1" customWidth="1"/>
    <col min="25" max="25" width="18.88671875" bestFit="1" customWidth="1"/>
    <col min="26" max="26" width="18.6640625" style="2" bestFit="1" customWidth="1"/>
    <col min="27" max="27" width="20.6640625" style="2" bestFit="1" customWidth="1"/>
    <col min="28" max="29" width="21.33203125" bestFit="1" customWidth="1"/>
    <col min="30" max="31" width="21.33203125" style="2" bestFit="1" customWidth="1"/>
    <col min="32" max="32" width="21.33203125" bestFit="1" customWidth="1"/>
    <col min="33" max="33" width="20.6640625" bestFit="1" customWidth="1"/>
    <col min="34" max="34" width="18.33203125" bestFit="1" customWidth="1"/>
    <col min="35" max="35" width="21.33203125" style="2" bestFit="1" customWidth="1"/>
    <col min="36" max="37" width="21.33203125" bestFit="1" customWidth="1"/>
    <col min="38" max="38" width="19.21875" bestFit="1" customWidth="1"/>
    <col min="39" max="40" width="21.33203125" bestFit="1" customWidth="1"/>
    <col min="41" max="41" width="19.5546875" style="2" bestFit="1" customWidth="1"/>
    <col min="42" max="43" width="21.33203125" style="2" bestFit="1" customWidth="1"/>
    <col min="44" max="44" width="21.33203125" bestFit="1" customWidth="1"/>
    <col min="45" max="45" width="19.88671875" bestFit="1" customWidth="1"/>
    <col min="46" max="46" width="21.33203125" bestFit="1" customWidth="1"/>
    <col min="47" max="47" width="17.5546875" bestFit="1" customWidth="1"/>
    <col min="48" max="48" width="21.33203125" bestFit="1" customWidth="1"/>
    <col min="49" max="49" width="21.33203125" style="2" bestFit="1" customWidth="1"/>
    <col min="50" max="51" width="21.33203125" bestFit="1" customWidth="1"/>
    <col min="52" max="52" width="18.109375" bestFit="1" customWidth="1"/>
    <col min="53" max="53" width="17.88671875" style="2" bestFit="1" customWidth="1"/>
    <col min="54" max="54" width="19.77734375" style="2" bestFit="1" customWidth="1"/>
    <col min="55" max="55" width="21.33203125" bestFit="1" customWidth="1"/>
    <col min="56" max="56" width="21.33203125" style="2" bestFit="1" customWidth="1"/>
    <col min="57" max="59" width="21.33203125" bestFit="1" customWidth="1"/>
    <col min="60" max="60" width="19.44140625" bestFit="1" customWidth="1"/>
    <col min="61" max="61" width="21.33203125" bestFit="1" customWidth="1"/>
    <col min="62" max="62" width="19.77734375" style="2" bestFit="1" customWidth="1"/>
    <col min="63" max="64" width="21.33203125" style="2" bestFit="1" customWidth="1"/>
    <col min="65" max="69" width="21.33203125" bestFit="1" customWidth="1"/>
    <col min="70" max="71" width="21.33203125" style="2" bestFit="1" customWidth="1"/>
    <col min="72" max="72" width="19.77734375" bestFit="1" customWidth="1"/>
    <col min="73" max="74" width="21.33203125" style="2" bestFit="1" customWidth="1"/>
    <col min="75" max="77" width="21.33203125" bestFit="1" customWidth="1"/>
    <col min="78" max="78" width="21.109375" bestFit="1" customWidth="1"/>
    <col min="79" max="79" width="21.33203125" bestFit="1" customWidth="1"/>
    <col min="80" max="82" width="21.33203125" style="2" bestFit="1" customWidth="1"/>
    <col min="83" max="83" width="21.33203125" bestFit="1" customWidth="1"/>
    <col min="84" max="84" width="19.21875" bestFit="1" customWidth="1"/>
    <col min="85" max="85" width="21.33203125" bestFit="1" customWidth="1"/>
    <col min="86" max="86" width="16.88671875" bestFit="1" customWidth="1"/>
    <col min="87" max="87" width="21.33203125" bestFit="1" customWidth="1"/>
    <col min="88" max="88" width="21.33203125" style="2" bestFit="1" customWidth="1"/>
    <col min="89" max="90" width="21.33203125" bestFit="1" customWidth="1"/>
    <col min="91" max="91" width="17.44140625" bestFit="1" customWidth="1"/>
    <col min="92" max="92" width="17.21875" style="2" bestFit="1" customWidth="1"/>
    <col min="93" max="93" width="19.109375" style="2" bestFit="1" customWidth="1"/>
    <col min="94" max="96" width="21.33203125" bestFit="1" customWidth="1"/>
    <col min="97" max="97" width="21.33203125" style="2" bestFit="1" customWidth="1"/>
    <col min="98" max="101" width="21.33203125" bestFit="1" customWidth="1"/>
    <col min="102" max="102" width="21.33203125" style="2" bestFit="1" customWidth="1"/>
    <col min="103" max="103" width="21.33203125" bestFit="1" customWidth="1"/>
    <col min="104" max="104" width="21.33203125" style="2" bestFit="1" customWidth="1"/>
    <col min="105" max="106" width="21.33203125" bestFit="1" customWidth="1"/>
    <col min="107" max="107" width="21.33203125" style="2" bestFit="1" customWidth="1"/>
    <col min="108" max="112" width="21.33203125" bestFit="1" customWidth="1"/>
    <col min="113" max="115" width="21.33203125" style="2" bestFit="1" customWidth="1"/>
    <col min="116" max="118" width="21.33203125" bestFit="1" customWidth="1"/>
    <col min="119" max="119" width="18.88671875" bestFit="1" customWidth="1"/>
    <col min="120" max="120" width="21.33203125" bestFit="1" customWidth="1"/>
    <col min="121" max="121" width="19.21875" style="2" bestFit="1" customWidth="1"/>
    <col min="122" max="122" width="21.21875" style="2" bestFit="1" customWidth="1"/>
    <col min="123" max="123" width="21.33203125" style="2" bestFit="1" customWidth="1"/>
    <col min="124" max="124" width="21.33203125" bestFit="1" customWidth="1"/>
    <col min="125" max="125" width="21.21875" bestFit="1" customWidth="1"/>
    <col min="126" max="126" width="21.33203125" bestFit="1" customWidth="1"/>
    <col min="127" max="127" width="18.77734375" bestFit="1" customWidth="1"/>
    <col min="128" max="128" width="21.33203125" bestFit="1" customWidth="1"/>
    <col min="129" max="129" width="19.109375" style="2" bestFit="1" customWidth="1"/>
    <col min="130" max="130" width="21.109375" style="2" bestFit="1" customWidth="1"/>
    <col min="131" max="131" width="18.88671875" bestFit="1" customWidth="1"/>
    <col min="132" max="132" width="18.88671875" customWidth="1"/>
  </cols>
  <sheetData>
    <row r="1" spans="1:130" s="7" customFormat="1" ht="28.8" x14ac:dyDescent="0.3">
      <c r="A1" s="7" t="s">
        <v>4</v>
      </c>
      <c r="B1" s="7" t="s">
        <v>6</v>
      </c>
      <c r="C1" s="7" t="s">
        <v>7</v>
      </c>
      <c r="D1" s="8" t="s">
        <v>8</v>
      </c>
      <c r="E1" s="8" t="s">
        <v>9</v>
      </c>
      <c r="F1" s="8" t="s">
        <v>169</v>
      </c>
      <c r="G1" s="22" t="s">
        <v>10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22" t="s">
        <v>19</v>
      </c>
      <c r="N1" s="22" t="s">
        <v>22</v>
      </c>
      <c r="O1" s="7" t="s">
        <v>24</v>
      </c>
      <c r="P1" s="22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22" t="s">
        <v>31</v>
      </c>
      <c r="W1" s="7" t="s">
        <v>32</v>
      </c>
      <c r="X1" s="7" t="s">
        <v>33</v>
      </c>
      <c r="Y1" s="7" t="s">
        <v>34</v>
      </c>
      <c r="Z1" s="22" t="s">
        <v>35</v>
      </c>
      <c r="AA1" s="22" t="s">
        <v>37</v>
      </c>
      <c r="AB1" s="7" t="s">
        <v>39</v>
      </c>
      <c r="AC1" s="7" t="s">
        <v>40</v>
      </c>
      <c r="AD1" s="22" t="s">
        <v>41</v>
      </c>
      <c r="AE1" s="22" t="s">
        <v>43</v>
      </c>
      <c r="AF1" s="7" t="s">
        <v>44</v>
      </c>
      <c r="AG1" s="7" t="s">
        <v>45</v>
      </c>
      <c r="AH1" s="7" t="s">
        <v>46</v>
      </c>
      <c r="AI1" s="22" t="s">
        <v>47</v>
      </c>
      <c r="AJ1" s="7" t="s">
        <v>48</v>
      </c>
      <c r="AK1" s="7" t="s">
        <v>49</v>
      </c>
      <c r="AL1" s="7" t="s">
        <v>50</v>
      </c>
      <c r="AM1" s="7" t="s">
        <v>51</v>
      </c>
      <c r="AN1" s="7" t="s">
        <v>52</v>
      </c>
      <c r="AO1" s="22" t="s">
        <v>53</v>
      </c>
      <c r="AP1" s="22" t="s">
        <v>55</v>
      </c>
      <c r="AQ1" s="22" t="s">
        <v>57</v>
      </c>
      <c r="AR1" s="7" t="s">
        <v>58</v>
      </c>
      <c r="AS1" s="7" t="s">
        <v>59</v>
      </c>
      <c r="AT1" s="7" t="s">
        <v>60</v>
      </c>
      <c r="AU1" s="7" t="s">
        <v>61</v>
      </c>
      <c r="AV1" s="7" t="s">
        <v>62</v>
      </c>
      <c r="AW1" s="22" t="s">
        <v>63</v>
      </c>
      <c r="AX1" s="7" t="s">
        <v>64</v>
      </c>
      <c r="AY1" s="7" t="s">
        <v>65</v>
      </c>
      <c r="AZ1" s="7" t="s">
        <v>66</v>
      </c>
      <c r="BA1" s="22" t="s">
        <v>67</v>
      </c>
      <c r="BB1" s="22" t="s">
        <v>69</v>
      </c>
      <c r="BC1" s="7" t="s">
        <v>71</v>
      </c>
      <c r="BD1" s="22" t="s">
        <v>72</v>
      </c>
      <c r="BE1" s="7" t="s">
        <v>73</v>
      </c>
      <c r="BF1" s="7" t="s">
        <v>74</v>
      </c>
      <c r="BG1" s="7" t="s">
        <v>75</v>
      </c>
      <c r="BH1" s="7" t="s">
        <v>76</v>
      </c>
      <c r="BI1" s="7" t="s">
        <v>77</v>
      </c>
      <c r="BJ1" s="22" t="s">
        <v>78</v>
      </c>
      <c r="BK1" s="22" t="s">
        <v>80</v>
      </c>
      <c r="BL1" s="22" t="s">
        <v>82</v>
      </c>
      <c r="BM1" s="7" t="s">
        <v>83</v>
      </c>
      <c r="BN1" s="7" t="s">
        <v>84</v>
      </c>
      <c r="BO1" s="7" t="s">
        <v>85</v>
      </c>
      <c r="BP1" s="7" t="s">
        <v>86</v>
      </c>
      <c r="BQ1" s="7" t="s">
        <v>87</v>
      </c>
      <c r="BR1" s="22" t="s">
        <v>88</v>
      </c>
      <c r="BS1" s="22" t="s">
        <v>90</v>
      </c>
      <c r="BT1" s="7" t="s">
        <v>92</v>
      </c>
      <c r="BU1" s="22" t="s">
        <v>93</v>
      </c>
      <c r="BV1" s="22" t="s">
        <v>95</v>
      </c>
      <c r="BW1" s="7" t="s">
        <v>96</v>
      </c>
      <c r="BX1" s="7" t="s">
        <v>97</v>
      </c>
      <c r="BY1" s="7" t="s">
        <v>98</v>
      </c>
      <c r="BZ1" s="7" t="s">
        <v>99</v>
      </c>
      <c r="CA1" s="7" t="s">
        <v>100</v>
      </c>
      <c r="CB1" s="22" t="s">
        <v>101</v>
      </c>
      <c r="CC1" s="22" t="s">
        <v>103</v>
      </c>
      <c r="CD1" s="22" t="s">
        <v>105</v>
      </c>
      <c r="CE1" s="7" t="s">
        <v>106</v>
      </c>
      <c r="CF1" s="7" t="s">
        <v>107</v>
      </c>
      <c r="CG1" s="7" t="s">
        <v>108</v>
      </c>
      <c r="CH1" s="7" t="s">
        <v>109</v>
      </c>
      <c r="CI1" s="7" t="s">
        <v>110</v>
      </c>
      <c r="CJ1" s="22" t="s">
        <v>111</v>
      </c>
      <c r="CK1" s="7" t="s">
        <v>112</v>
      </c>
      <c r="CL1" s="7" t="s">
        <v>113</v>
      </c>
      <c r="CM1" s="7" t="s">
        <v>114</v>
      </c>
      <c r="CN1" s="22" t="s">
        <v>115</v>
      </c>
      <c r="CO1" s="22" t="s">
        <v>117</v>
      </c>
      <c r="CP1" s="7" t="s">
        <v>119</v>
      </c>
      <c r="CQ1" s="7" t="s">
        <v>120</v>
      </c>
      <c r="CR1" s="7" t="s">
        <v>121</v>
      </c>
      <c r="CS1" s="22" t="s">
        <v>122</v>
      </c>
      <c r="CT1" s="7" t="s">
        <v>123</v>
      </c>
      <c r="CU1" s="7" t="s">
        <v>124</v>
      </c>
      <c r="CV1" s="7" t="s">
        <v>125</v>
      </c>
      <c r="CW1" s="7" t="s">
        <v>126</v>
      </c>
      <c r="CX1" s="22" t="s">
        <v>127</v>
      </c>
      <c r="CY1" s="7" t="s">
        <v>129</v>
      </c>
      <c r="CZ1" s="22" t="s">
        <v>131</v>
      </c>
      <c r="DA1" s="7" t="s">
        <v>133</v>
      </c>
      <c r="DB1" s="7" t="s">
        <v>134</v>
      </c>
      <c r="DC1" s="22" t="s">
        <v>135</v>
      </c>
      <c r="DD1" s="7" t="s">
        <v>136</v>
      </c>
      <c r="DE1" s="7" t="s">
        <v>137</v>
      </c>
      <c r="DF1" s="7" t="s">
        <v>138</v>
      </c>
      <c r="DG1" s="7" t="s">
        <v>139</v>
      </c>
      <c r="DH1" s="7" t="s">
        <v>140</v>
      </c>
      <c r="DI1" s="22" t="s">
        <v>141</v>
      </c>
      <c r="DJ1" s="22" t="s">
        <v>143</v>
      </c>
      <c r="DK1" s="22" t="s">
        <v>145</v>
      </c>
      <c r="DL1" s="7" t="s">
        <v>146</v>
      </c>
      <c r="DM1" s="7" t="s">
        <v>147</v>
      </c>
      <c r="DN1" s="7" t="s">
        <v>148</v>
      </c>
      <c r="DO1" s="7" t="s">
        <v>149</v>
      </c>
      <c r="DP1" s="7" t="s">
        <v>150</v>
      </c>
      <c r="DQ1" s="22" t="s">
        <v>151</v>
      </c>
      <c r="DR1" s="22" t="s">
        <v>153</v>
      </c>
      <c r="DS1" s="22" t="s">
        <v>155</v>
      </c>
      <c r="DT1" s="7" t="s">
        <v>156</v>
      </c>
      <c r="DU1" s="7" t="s">
        <v>157</v>
      </c>
      <c r="DV1" s="7" t="s">
        <v>158</v>
      </c>
      <c r="DW1" s="7" t="s">
        <v>159</v>
      </c>
      <c r="DX1" s="7" t="s">
        <v>160</v>
      </c>
      <c r="DY1" s="22" t="s">
        <v>161</v>
      </c>
      <c r="DZ1" s="22" t="s">
        <v>163</v>
      </c>
    </row>
    <row r="2" spans="1:130" x14ac:dyDescent="0.3">
      <c r="A2" t="s">
        <v>166</v>
      </c>
      <c r="B2">
        <v>1993</v>
      </c>
      <c r="C2" t="s">
        <v>167</v>
      </c>
      <c r="D2" s="1">
        <v>57053728</v>
      </c>
      <c r="E2" s="1">
        <v>1671995850752</v>
      </c>
      <c r="F2" s="1">
        <v>1671995.850752</v>
      </c>
      <c r="G2" s="2">
        <v>3.9957499999999997</v>
      </c>
      <c r="H2">
        <v>0.28899999999999998</v>
      </c>
      <c r="I2">
        <v>6.343</v>
      </c>
      <c r="J2">
        <v>0.36199999999999999</v>
      </c>
      <c r="K2">
        <v>26</v>
      </c>
      <c r="L2">
        <v>1.48</v>
      </c>
      <c r="M2" s="2">
        <v>3.16E-3</v>
      </c>
      <c r="N2" s="2">
        <v>1.2999999999999999E-4</v>
      </c>
      <c r="O2">
        <v>68.75</v>
      </c>
      <c r="P2" s="2">
        <v>-0.21199999999999999</v>
      </c>
      <c r="Q2">
        <v>-45.837000000000003</v>
      </c>
      <c r="R2">
        <v>2986.1080000000002</v>
      </c>
      <c r="S2">
        <v>170.369</v>
      </c>
      <c r="T2">
        <v>367.37299999999999</v>
      </c>
      <c r="U2">
        <v>20.96</v>
      </c>
      <c r="V2" s="2">
        <v>-8.0489999999999992E-2</v>
      </c>
      <c r="W2">
        <v>-6.407</v>
      </c>
      <c r="X2">
        <v>1282.838</v>
      </c>
      <c r="Y2">
        <v>73.191000000000003</v>
      </c>
      <c r="Z2" s="2">
        <v>4.478E-2</v>
      </c>
      <c r="AA2" s="2">
        <v>5.9699999999999996E-2</v>
      </c>
      <c r="AB2">
        <v>406.64</v>
      </c>
      <c r="AC2">
        <v>468.07</v>
      </c>
      <c r="AD2" s="2">
        <v>0.22894999999999999</v>
      </c>
      <c r="AE2" s="2">
        <v>-1.4199999999999998E-3</v>
      </c>
      <c r="AF2">
        <v>-4.0529999999999999</v>
      </c>
      <c r="AG2">
        <v>50021.061999999998</v>
      </c>
      <c r="AH2">
        <v>1.7070000000000001</v>
      </c>
      <c r="AI2" s="2">
        <v>-4.5190000000000001E-2</v>
      </c>
      <c r="AJ2">
        <v>-76.225999999999999</v>
      </c>
      <c r="AK2">
        <v>606.62099999999998</v>
      </c>
      <c r="AL2">
        <v>34.61</v>
      </c>
      <c r="AM2">
        <v>28229.182000000001</v>
      </c>
      <c r="AN2">
        <v>1610.58</v>
      </c>
      <c r="AO2" s="2">
        <v>7.3940000000000006E-2</v>
      </c>
      <c r="AP2" s="2">
        <v>0.56435000000000002</v>
      </c>
      <c r="AQ2" s="2">
        <v>2.273E-2</v>
      </c>
      <c r="AR2">
        <v>7.5250000000000004</v>
      </c>
      <c r="AS2">
        <v>338.51499999999999</v>
      </c>
      <c r="AT2">
        <v>61</v>
      </c>
      <c r="AU2">
        <v>3.5</v>
      </c>
      <c r="AV2">
        <v>5933.2619999999997</v>
      </c>
      <c r="AW2" s="2">
        <v>3.6049999999999999E-2</v>
      </c>
      <c r="AX2">
        <v>1.298</v>
      </c>
      <c r="AY2">
        <v>653.79899999999998</v>
      </c>
      <c r="AZ2">
        <v>37.302</v>
      </c>
      <c r="BA2" s="2">
        <v>7.4799999999999997E-3</v>
      </c>
      <c r="BB2" s="2">
        <v>0.11862</v>
      </c>
      <c r="BC2">
        <v>32.18</v>
      </c>
      <c r="BD2" s="2">
        <v>-5.8890000000000005E-2</v>
      </c>
      <c r="BE2">
        <v>-12.007999999999999</v>
      </c>
      <c r="BF2">
        <v>191.89400000000001</v>
      </c>
      <c r="BG2">
        <v>1109.48</v>
      </c>
      <c r="BH2">
        <v>63.3</v>
      </c>
      <c r="BI2">
        <v>3363.3870000000002</v>
      </c>
      <c r="BJ2" s="2">
        <v>0.13524</v>
      </c>
      <c r="BK2" s="2">
        <v>6.7240000000000008E-2</v>
      </c>
      <c r="BL2" s="2">
        <v>6.3019999999999993E-2</v>
      </c>
      <c r="BM2">
        <v>72.173000000000002</v>
      </c>
      <c r="BN2">
        <v>1243.308</v>
      </c>
      <c r="BO2">
        <v>7597.4</v>
      </c>
      <c r="BP2">
        <v>433.46</v>
      </c>
      <c r="BQ2">
        <v>21791.883000000002</v>
      </c>
      <c r="BR2" s="2">
        <v>0.92605999999999999</v>
      </c>
      <c r="BS2" s="2">
        <v>0.43564999999999998</v>
      </c>
      <c r="BT2">
        <v>-61.43</v>
      </c>
      <c r="BU2" s="2">
        <v>-0.15106999999999998</v>
      </c>
      <c r="BV2" s="2">
        <v>8.788E-2</v>
      </c>
      <c r="BW2">
        <v>84.396000000000001</v>
      </c>
      <c r="BX2">
        <v>1044.739</v>
      </c>
      <c r="BY2">
        <v>6453</v>
      </c>
      <c r="BZ2">
        <v>368</v>
      </c>
      <c r="CA2">
        <v>18311.491999999998</v>
      </c>
      <c r="CB2" s="2">
        <v>0.79</v>
      </c>
      <c r="CC2" s="2">
        <v>0.36607999999999996</v>
      </c>
      <c r="CD2" s="2">
        <v>-3.3270000000000001E-2</v>
      </c>
      <c r="CE2">
        <v>-37.914000000000001</v>
      </c>
      <c r="CF2">
        <v>1101.6969999999999</v>
      </c>
      <c r="CG2">
        <v>177.90199999999999</v>
      </c>
      <c r="CH2">
        <v>10.15</v>
      </c>
      <c r="CI2">
        <v>19309.811000000002</v>
      </c>
      <c r="CJ2" s="2">
        <v>-4.6920000000000003E-2</v>
      </c>
      <c r="CK2">
        <v>-2.0019999999999998</v>
      </c>
      <c r="CL2">
        <v>712.72500000000002</v>
      </c>
      <c r="CM2">
        <v>40.664000000000001</v>
      </c>
      <c r="CN2" s="2">
        <v>2.1680000000000001E-2</v>
      </c>
      <c r="CO2" s="2">
        <v>0.38603000000000004</v>
      </c>
      <c r="CP2">
        <v>6.3010000000000002</v>
      </c>
      <c r="CQ2">
        <v>1.97</v>
      </c>
      <c r="CR2">
        <v>0.49</v>
      </c>
      <c r="CS2" s="2">
        <v>-7.4980000000000005E-2</v>
      </c>
      <c r="CT2">
        <v>-0.51100000000000001</v>
      </c>
      <c r="CU2">
        <v>35</v>
      </c>
      <c r="CV2">
        <v>9</v>
      </c>
      <c r="CW2">
        <v>110.447</v>
      </c>
      <c r="CX2" s="2">
        <v>4.2100000000000002E-3</v>
      </c>
      <c r="CY2" s="2">
        <v>1.0499999999999999E-3</v>
      </c>
      <c r="CZ2" s="2">
        <v>2.2100000000000002E-3</v>
      </c>
      <c r="DA2">
        <v>8204.0210000000006</v>
      </c>
      <c r="DB2">
        <v>2853.8879999999999</v>
      </c>
      <c r="DC2" s="2">
        <v>-5.5220000000000005E-2</v>
      </c>
      <c r="DD2">
        <v>-12.223000000000001</v>
      </c>
      <c r="DE2">
        <v>198.56899999999999</v>
      </c>
      <c r="DF2">
        <v>1144.009</v>
      </c>
      <c r="DG2">
        <v>65.27</v>
      </c>
      <c r="DH2">
        <v>3480.3890000000001</v>
      </c>
      <c r="DI2" s="2">
        <v>0.13944000000000001</v>
      </c>
      <c r="DJ2" s="2">
        <v>6.9580000000000003E-2</v>
      </c>
      <c r="DK2" s="2">
        <v>0.13105</v>
      </c>
      <c r="DL2">
        <v>1E-3</v>
      </c>
      <c r="DM2">
        <v>5.0000000000000001E-3</v>
      </c>
      <c r="DN2">
        <v>0</v>
      </c>
      <c r="DO2">
        <v>0</v>
      </c>
      <c r="DP2">
        <v>8.6999999999999994E-2</v>
      </c>
      <c r="DQ2" s="2">
        <v>0</v>
      </c>
      <c r="DR2" s="2">
        <v>0</v>
      </c>
      <c r="DS2" s="2">
        <v>3.9063699999999999</v>
      </c>
      <c r="DT2">
        <v>6.0000000000000001E-3</v>
      </c>
      <c r="DU2">
        <v>7.0000000000000001E-3</v>
      </c>
      <c r="DV2">
        <v>0</v>
      </c>
      <c r="DW2">
        <v>0</v>
      </c>
      <c r="DX2">
        <v>0.125</v>
      </c>
      <c r="DY2" s="2">
        <v>0</v>
      </c>
      <c r="DZ2" s="2">
        <v>0</v>
      </c>
    </row>
    <row r="3" spans="1:130" x14ac:dyDescent="0.3">
      <c r="A3" t="s">
        <v>165</v>
      </c>
      <c r="B3">
        <v>1993</v>
      </c>
      <c r="C3" t="s">
        <v>168</v>
      </c>
      <c r="D3" s="1">
        <v>80573496</v>
      </c>
      <c r="E3" s="1">
        <v>2206290935808</v>
      </c>
      <c r="F3" s="1">
        <v>2206290.9358080002</v>
      </c>
      <c r="G3" s="2">
        <v>4.0000000000000003E-5</v>
      </c>
      <c r="H3">
        <v>0</v>
      </c>
      <c r="I3">
        <v>0.63800000000000001</v>
      </c>
      <c r="J3">
        <v>5.0999999999999997E-2</v>
      </c>
      <c r="K3">
        <v>24</v>
      </c>
      <c r="L3">
        <v>1.97</v>
      </c>
      <c r="M3" s="2">
        <v>3.7799999999999999E-3</v>
      </c>
      <c r="N3" s="2">
        <v>1.0000000000000001E-5</v>
      </c>
      <c r="O3">
        <v>607.755</v>
      </c>
      <c r="P3" s="2">
        <v>-5.6590000000000001E-2</v>
      </c>
      <c r="Q3">
        <v>-68.724000000000004</v>
      </c>
      <c r="R3">
        <v>14220.236000000001</v>
      </c>
      <c r="S3">
        <v>1145.7739999999999</v>
      </c>
      <c r="T3">
        <v>3639.5340000000001</v>
      </c>
      <c r="U3">
        <v>293.25</v>
      </c>
      <c r="V3" s="2">
        <v>-0.10022</v>
      </c>
      <c r="W3">
        <v>-113.79900000000001</v>
      </c>
      <c r="X3">
        <v>12680.253000000001</v>
      </c>
      <c r="Y3">
        <v>1021.692</v>
      </c>
      <c r="Z3" s="2">
        <v>0.56315999999999999</v>
      </c>
      <c r="AA3" s="2">
        <v>0.28704999999999997</v>
      </c>
      <c r="AB3">
        <v>521.59</v>
      </c>
      <c r="AC3">
        <v>520.72</v>
      </c>
      <c r="AD3" s="2">
        <v>0.14202000000000001</v>
      </c>
      <c r="AE3" s="2">
        <v>-4.4400000000000004E-3</v>
      </c>
      <c r="AF3">
        <v>-17.811</v>
      </c>
      <c r="AG3">
        <v>49538.949000000001</v>
      </c>
      <c r="AH3">
        <v>1.8089999999999999</v>
      </c>
      <c r="AI3" s="2">
        <v>-1.4399999999999999E-3</v>
      </c>
      <c r="AJ3">
        <v>-5.0199999999999996</v>
      </c>
      <c r="AK3">
        <v>4305.6350000000002</v>
      </c>
      <c r="AL3">
        <v>346.92</v>
      </c>
      <c r="AM3">
        <v>43348.75</v>
      </c>
      <c r="AN3">
        <v>3492.76</v>
      </c>
      <c r="AO3" s="2">
        <v>0.6662300000000001</v>
      </c>
      <c r="AP3" s="2">
        <v>0.87504000000000004</v>
      </c>
      <c r="AQ3" s="2">
        <v>5.8169999999999999E-2</v>
      </c>
      <c r="AR3">
        <v>38.485999999999997</v>
      </c>
      <c r="AS3">
        <v>700.11300000000006</v>
      </c>
      <c r="AT3">
        <v>407</v>
      </c>
      <c r="AU3">
        <v>32.799999999999997</v>
      </c>
      <c r="AV3">
        <v>8689.1260000000002</v>
      </c>
      <c r="AW3" s="2">
        <v>-4.8399999999999997E-3</v>
      </c>
      <c r="AX3">
        <v>-0.75600000000000001</v>
      </c>
      <c r="AY3">
        <v>1928.7180000000001</v>
      </c>
      <c r="AZ3">
        <v>155.404</v>
      </c>
      <c r="BA3" s="2">
        <v>6.2990000000000004E-2</v>
      </c>
      <c r="BB3" s="2">
        <v>0.1754</v>
      </c>
      <c r="BC3">
        <v>316.47000000000003</v>
      </c>
      <c r="BD3" s="2">
        <v>1.7440000000000001E-2</v>
      </c>
      <c r="BE3">
        <v>0.96099999999999997</v>
      </c>
      <c r="BF3">
        <v>56.064999999999998</v>
      </c>
      <c r="BG3">
        <v>221.90899999999999</v>
      </c>
      <c r="BH3">
        <v>17.88</v>
      </c>
      <c r="BI3">
        <v>695.81799999999998</v>
      </c>
      <c r="BJ3" s="2">
        <v>3.4340000000000002E-2</v>
      </c>
      <c r="BK3" s="2">
        <v>1.405E-2</v>
      </c>
      <c r="BL3" s="2">
        <v>-2.5360000000000001E-2</v>
      </c>
      <c r="BM3">
        <v>-12.791</v>
      </c>
      <c r="BN3">
        <v>498.76600000000002</v>
      </c>
      <c r="BO3">
        <v>2157.0369999999998</v>
      </c>
      <c r="BP3">
        <v>173.8</v>
      </c>
      <c r="BQ3">
        <v>6190.201</v>
      </c>
      <c r="BR3" s="2">
        <v>0.33377000000000001</v>
      </c>
      <c r="BS3" s="2">
        <v>0.12496</v>
      </c>
      <c r="BT3">
        <v>0.87</v>
      </c>
      <c r="BU3" s="2">
        <v>1.67E-3</v>
      </c>
      <c r="BV3" s="2">
        <v>-3.338E-2</v>
      </c>
      <c r="BW3">
        <v>-15.039</v>
      </c>
      <c r="BX3">
        <v>435.55900000000003</v>
      </c>
      <c r="BY3">
        <v>1902</v>
      </c>
      <c r="BZ3">
        <v>153</v>
      </c>
      <c r="CA3">
        <v>5405.7290000000003</v>
      </c>
      <c r="CB3" s="2">
        <v>0.28999999999999998</v>
      </c>
      <c r="CC3" s="2">
        <v>0.10912000000000001</v>
      </c>
      <c r="CD3" s="2">
        <v>1.555E-2</v>
      </c>
      <c r="CE3">
        <v>25.218</v>
      </c>
      <c r="CF3">
        <v>1646.873</v>
      </c>
      <c r="CG3">
        <v>259.01799999999997</v>
      </c>
      <c r="CH3">
        <v>20.87</v>
      </c>
      <c r="CI3">
        <v>20439.384999999998</v>
      </c>
      <c r="CJ3" s="2">
        <v>-3.4390000000000004E-2</v>
      </c>
      <c r="CK3">
        <v>-1.3779999999999999</v>
      </c>
      <c r="CL3">
        <v>480.34100000000001</v>
      </c>
      <c r="CM3">
        <v>38.703000000000003</v>
      </c>
      <c r="CN3" s="2">
        <v>4.0079999999999998E-2</v>
      </c>
      <c r="CO3" s="2">
        <v>0.41259000000000001</v>
      </c>
      <c r="CP3">
        <v>5.3090000000000002</v>
      </c>
      <c r="CQ3">
        <v>1.97</v>
      </c>
      <c r="CR3">
        <v>0</v>
      </c>
      <c r="CS3" s="2">
        <v>6.4659999999999995E-2</v>
      </c>
      <c r="CT3">
        <v>0.32200000000000001</v>
      </c>
      <c r="CU3">
        <v>24</v>
      </c>
      <c r="CV3">
        <v>0</v>
      </c>
      <c r="CW3">
        <v>65.885999999999996</v>
      </c>
      <c r="CX3" s="2">
        <v>3.7799999999999999E-3</v>
      </c>
      <c r="CY3" s="2">
        <v>0</v>
      </c>
      <c r="CZ3" s="2">
        <v>1.33E-3</v>
      </c>
      <c r="DA3">
        <v>6462.67</v>
      </c>
      <c r="DB3">
        <v>3991.5259999999998</v>
      </c>
      <c r="DC3" s="2">
        <v>3.6639999999999999E-2</v>
      </c>
      <c r="DD3">
        <v>2.2469999999999999</v>
      </c>
      <c r="DE3">
        <v>63.207999999999998</v>
      </c>
      <c r="DF3">
        <v>254.67400000000001</v>
      </c>
      <c r="DG3">
        <v>20.52</v>
      </c>
      <c r="DH3">
        <v>784.471</v>
      </c>
      <c r="DI3" s="2">
        <v>3.9410000000000001E-2</v>
      </c>
      <c r="DJ3" s="2">
        <v>1.584E-2</v>
      </c>
      <c r="DK3" s="2">
        <v>0.5</v>
      </c>
      <c r="DL3">
        <v>3.0000000000000001E-3</v>
      </c>
      <c r="DM3">
        <v>8.9999999999999993E-3</v>
      </c>
      <c r="DN3">
        <v>0</v>
      </c>
      <c r="DO3">
        <v>0</v>
      </c>
      <c r="DP3">
        <v>0.11</v>
      </c>
      <c r="DQ3" s="2">
        <v>0</v>
      </c>
      <c r="DR3" s="2">
        <v>0</v>
      </c>
      <c r="DS3" s="2">
        <v>1.1818200000000001</v>
      </c>
      <c r="DT3">
        <v>0.96099999999999997</v>
      </c>
      <c r="DU3">
        <v>1.774</v>
      </c>
      <c r="DV3">
        <v>8</v>
      </c>
      <c r="DW3">
        <v>0.67</v>
      </c>
      <c r="DX3">
        <v>22.02</v>
      </c>
      <c r="DY3" s="2">
        <v>1.2900000000000001E-3</v>
      </c>
      <c r="DZ3" s="2">
        <v>4.3999999999999996E-4</v>
      </c>
    </row>
    <row r="4" spans="1:130" x14ac:dyDescent="0.3">
      <c r="A4" t="s">
        <v>166</v>
      </c>
      <c r="B4">
        <v>1994</v>
      </c>
      <c r="C4" t="s">
        <v>167</v>
      </c>
      <c r="D4" s="1">
        <v>57230064</v>
      </c>
      <c r="E4" s="1">
        <v>1712086450176</v>
      </c>
      <c r="F4" s="1">
        <v>1712086.4501759999</v>
      </c>
      <c r="G4" s="2">
        <v>2.0217299999999998</v>
      </c>
      <c r="H4">
        <v>0.73199999999999998</v>
      </c>
      <c r="I4">
        <v>19.108000000000001</v>
      </c>
      <c r="J4">
        <v>1.0940000000000001</v>
      </c>
      <c r="K4">
        <v>29</v>
      </c>
      <c r="L4">
        <v>1.66</v>
      </c>
      <c r="M4" s="2">
        <v>3.5099999999999997E-3</v>
      </c>
      <c r="N4" s="2">
        <v>3.8999999999999999E-4</v>
      </c>
      <c r="O4">
        <v>67.274000000000001</v>
      </c>
      <c r="P4" s="2">
        <v>-8.7200000000000003E-3</v>
      </c>
      <c r="Q4">
        <v>-1.486</v>
      </c>
      <c r="R4">
        <v>2950.9380000000001</v>
      </c>
      <c r="S4">
        <v>168.88200000000001</v>
      </c>
      <c r="T4">
        <v>365.19299999999998</v>
      </c>
      <c r="U4">
        <v>20.9</v>
      </c>
      <c r="V4" s="2">
        <v>-0.11906</v>
      </c>
      <c r="W4">
        <v>-8.7140000000000004</v>
      </c>
      <c r="X4">
        <v>1126.6210000000001</v>
      </c>
      <c r="Y4">
        <v>64.477000000000004</v>
      </c>
      <c r="Z4" s="2">
        <v>4.4199999999999996E-2</v>
      </c>
      <c r="AA4" s="2">
        <v>5.9790000000000003E-2</v>
      </c>
      <c r="AB4">
        <v>409.67</v>
      </c>
      <c r="AC4">
        <v>472.84</v>
      </c>
      <c r="AD4" s="2">
        <v>0.23612</v>
      </c>
      <c r="AE4" s="2">
        <v>-1.0209999999999999E-2</v>
      </c>
      <c r="AF4">
        <v>-29.129000000000001</v>
      </c>
      <c r="AG4">
        <v>49357.964999999997</v>
      </c>
      <c r="AH4">
        <v>1.65</v>
      </c>
      <c r="AI4" s="2">
        <v>-2.997E-2</v>
      </c>
      <c r="AJ4">
        <v>-48.264000000000003</v>
      </c>
      <c r="AK4">
        <v>588.327</v>
      </c>
      <c r="AL4">
        <v>33.67</v>
      </c>
      <c r="AM4">
        <v>27298.877</v>
      </c>
      <c r="AN4">
        <v>1562.317</v>
      </c>
      <c r="AO4" s="2">
        <v>7.1210000000000009E-2</v>
      </c>
      <c r="AP4" s="2">
        <v>0.55308000000000002</v>
      </c>
      <c r="AQ4" s="2">
        <v>-4.539E-2</v>
      </c>
      <c r="AR4">
        <v>-15.365</v>
      </c>
      <c r="AS4">
        <v>323.14999999999998</v>
      </c>
      <c r="AT4">
        <v>63</v>
      </c>
      <c r="AU4">
        <v>3.63</v>
      </c>
      <c r="AV4">
        <v>5646.5119999999997</v>
      </c>
      <c r="AW4" s="2">
        <v>3.2160000000000001E-2</v>
      </c>
      <c r="AX4">
        <v>1.2</v>
      </c>
      <c r="AY4">
        <v>672.74800000000005</v>
      </c>
      <c r="AZ4">
        <v>38.500999999999998</v>
      </c>
      <c r="BA4" s="2">
        <v>7.6800000000000002E-3</v>
      </c>
      <c r="BB4" s="2">
        <v>0.1144</v>
      </c>
      <c r="BC4">
        <v>31.81</v>
      </c>
      <c r="BD4" s="2">
        <v>0.21417999999999998</v>
      </c>
      <c r="BE4">
        <v>41.098999999999997</v>
      </c>
      <c r="BF4">
        <v>232.99299999999999</v>
      </c>
      <c r="BG4">
        <v>1345.971</v>
      </c>
      <c r="BH4">
        <v>77.03</v>
      </c>
      <c r="BI4">
        <v>4071.165</v>
      </c>
      <c r="BJ4" s="2">
        <v>0.16291</v>
      </c>
      <c r="BK4" s="2">
        <v>8.2479999999999998E-2</v>
      </c>
      <c r="BL4" s="2">
        <v>1.5180000000000001E-2</v>
      </c>
      <c r="BM4">
        <v>19.135000000000002</v>
      </c>
      <c r="BN4">
        <v>1262.443</v>
      </c>
      <c r="BO4">
        <v>7673.7640000000001</v>
      </c>
      <c r="BP4">
        <v>439.17</v>
      </c>
      <c r="BQ4">
        <v>22059.09</v>
      </c>
      <c r="BR4" s="2">
        <v>0.92879</v>
      </c>
      <c r="BS4" s="2">
        <v>0.44691999999999998</v>
      </c>
      <c r="BT4">
        <v>-63.17</v>
      </c>
      <c r="BU4" s="2">
        <v>-0.1542</v>
      </c>
      <c r="BV4" s="2">
        <v>-2.2290000000000001E-2</v>
      </c>
      <c r="BW4">
        <v>-23.286999999999999</v>
      </c>
      <c r="BX4">
        <v>1021.451</v>
      </c>
      <c r="BY4">
        <v>6290</v>
      </c>
      <c r="BZ4">
        <v>360</v>
      </c>
      <c r="CA4">
        <v>17848.162</v>
      </c>
      <c r="CB4" s="2">
        <v>0.76</v>
      </c>
      <c r="CC4" s="2">
        <v>0.36160999999999999</v>
      </c>
      <c r="CD4" s="2">
        <v>-2.8510000000000001E-2</v>
      </c>
      <c r="CE4">
        <v>-31.413</v>
      </c>
      <c r="CF4">
        <v>1070.2840000000001</v>
      </c>
      <c r="CG4">
        <v>159.70599999999999</v>
      </c>
      <c r="CH4">
        <v>9.14</v>
      </c>
      <c r="CI4">
        <v>18701.425999999999</v>
      </c>
      <c r="CJ4" s="2">
        <v>1.7819999999999999E-2</v>
      </c>
      <c r="CK4">
        <v>0.72499999999999998</v>
      </c>
      <c r="CL4">
        <v>723.19299999999998</v>
      </c>
      <c r="CM4">
        <v>41.387999999999998</v>
      </c>
      <c r="CN4" s="2">
        <v>1.933E-2</v>
      </c>
      <c r="CO4" s="2">
        <v>0.37889</v>
      </c>
      <c r="CP4">
        <v>6.8860000000000001</v>
      </c>
      <c r="CQ4">
        <v>2.16</v>
      </c>
      <c r="CR4">
        <v>0.5</v>
      </c>
      <c r="CS4" s="2">
        <v>9.2710000000000015E-2</v>
      </c>
      <c r="CT4">
        <v>0.58399999999999996</v>
      </c>
      <c r="CU4">
        <v>38</v>
      </c>
      <c r="CV4">
        <v>9</v>
      </c>
      <c r="CW4">
        <v>120.31399999999999</v>
      </c>
      <c r="CX4" s="2">
        <v>4.5700000000000003E-3</v>
      </c>
      <c r="CY4" s="2">
        <v>1.06E-3</v>
      </c>
      <c r="CZ4" s="2">
        <v>2.4399999999999999E-3</v>
      </c>
      <c r="DA4">
        <v>8262.0910000000003</v>
      </c>
      <c r="DB4">
        <v>2824.76</v>
      </c>
      <c r="DC4" s="2">
        <v>0.22036</v>
      </c>
      <c r="DD4">
        <v>42.421999999999997</v>
      </c>
      <c r="DE4">
        <v>240.99199999999999</v>
      </c>
      <c r="DF4">
        <v>1383.713</v>
      </c>
      <c r="DG4">
        <v>79.19</v>
      </c>
      <c r="DH4">
        <v>4210.9269999999997</v>
      </c>
      <c r="DI4" s="2">
        <v>0.16748000000000002</v>
      </c>
      <c r="DJ4" s="2">
        <v>8.5310000000000011E-2</v>
      </c>
      <c r="DK4" s="2">
        <v>0.11616</v>
      </c>
      <c r="DL4">
        <v>1E-3</v>
      </c>
      <c r="DM4">
        <v>6.0000000000000001E-3</v>
      </c>
      <c r="DN4">
        <v>0</v>
      </c>
      <c r="DO4">
        <v>0</v>
      </c>
      <c r="DP4">
        <v>9.7000000000000003E-2</v>
      </c>
      <c r="DQ4" s="2">
        <v>0</v>
      </c>
      <c r="DR4" s="2">
        <v>0</v>
      </c>
      <c r="DS4" s="2">
        <v>0.95822000000000007</v>
      </c>
      <c r="DT4">
        <v>7.0000000000000001E-3</v>
      </c>
      <c r="DU4">
        <v>1.4E-2</v>
      </c>
      <c r="DV4">
        <v>0</v>
      </c>
      <c r="DW4">
        <v>0</v>
      </c>
      <c r="DX4">
        <v>0.24299999999999999</v>
      </c>
      <c r="DY4" s="2">
        <v>0</v>
      </c>
      <c r="DZ4" s="2">
        <v>0</v>
      </c>
    </row>
    <row r="5" spans="1:130" x14ac:dyDescent="0.3">
      <c r="A5" t="s">
        <v>165</v>
      </c>
      <c r="B5">
        <v>1994</v>
      </c>
      <c r="C5" t="s">
        <v>168</v>
      </c>
      <c r="D5" s="1">
        <v>80882120</v>
      </c>
      <c r="E5" s="1">
        <v>2283952930816</v>
      </c>
      <c r="F5" s="1">
        <v>2283952.9308159999</v>
      </c>
      <c r="G5" s="2">
        <v>4.5986000000000002</v>
      </c>
      <c r="H5">
        <v>0.23599999999999999</v>
      </c>
      <c r="I5">
        <v>3.556</v>
      </c>
      <c r="J5">
        <v>0.28799999999999998</v>
      </c>
      <c r="K5">
        <v>26</v>
      </c>
      <c r="L5">
        <v>2.0699999999999998</v>
      </c>
      <c r="M5" s="2">
        <v>3.9700000000000004E-3</v>
      </c>
      <c r="N5" s="2">
        <v>7.0000000000000007E-5</v>
      </c>
      <c r="O5">
        <v>604.28</v>
      </c>
      <c r="P5" s="2">
        <v>-2.9960000000000001E-2</v>
      </c>
      <c r="Q5">
        <v>-34.323</v>
      </c>
      <c r="R5">
        <v>13741.624</v>
      </c>
      <c r="S5">
        <v>1111.452</v>
      </c>
      <c r="T5">
        <v>3589.0509999999999</v>
      </c>
      <c r="U5">
        <v>290.29000000000002</v>
      </c>
      <c r="V5" s="2">
        <v>-7.8560000000000005E-2</v>
      </c>
      <c r="W5">
        <v>-80.260999999999996</v>
      </c>
      <c r="X5">
        <v>11639.553</v>
      </c>
      <c r="Y5">
        <v>941.43200000000002</v>
      </c>
      <c r="Z5" s="2">
        <v>0.55713000000000001</v>
      </c>
      <c r="AA5" s="2">
        <v>0.28108</v>
      </c>
      <c r="AB5">
        <v>523.39</v>
      </c>
      <c r="AC5">
        <v>521.04999999999995</v>
      </c>
      <c r="AD5" s="2">
        <v>0.14351</v>
      </c>
      <c r="AE5" s="2">
        <v>-9.3600000000000003E-3</v>
      </c>
      <c r="AF5">
        <v>-37.353999999999999</v>
      </c>
      <c r="AG5">
        <v>48888.086000000003</v>
      </c>
      <c r="AH5">
        <v>1.7310000000000001</v>
      </c>
      <c r="AI5" s="2">
        <v>-1.042E-2</v>
      </c>
      <c r="AJ5">
        <v>-36.408999999999999</v>
      </c>
      <c r="AK5">
        <v>4289.2060000000001</v>
      </c>
      <c r="AL5">
        <v>346.92</v>
      </c>
      <c r="AM5">
        <v>42733.195</v>
      </c>
      <c r="AN5">
        <v>3456.3519999999999</v>
      </c>
      <c r="AO5" s="2">
        <v>0.66581000000000001</v>
      </c>
      <c r="AP5" s="2">
        <v>0.87409999999999999</v>
      </c>
      <c r="AQ5" s="2">
        <v>1.83E-2</v>
      </c>
      <c r="AR5">
        <v>12.814</v>
      </c>
      <c r="AS5">
        <v>712.92700000000002</v>
      </c>
      <c r="AT5">
        <v>446</v>
      </c>
      <c r="AU5">
        <v>36.1</v>
      </c>
      <c r="AV5">
        <v>8814.3979999999992</v>
      </c>
      <c r="AW5" s="2">
        <v>4.8369999999999996E-2</v>
      </c>
      <c r="AX5">
        <v>7.5170000000000003</v>
      </c>
      <c r="AY5">
        <v>2014.3009999999999</v>
      </c>
      <c r="AZ5">
        <v>162.92099999999999</v>
      </c>
      <c r="BA5" s="2">
        <v>6.9279999999999994E-2</v>
      </c>
      <c r="BB5" s="2">
        <v>0.18030000000000002</v>
      </c>
      <c r="BC5">
        <v>314.86</v>
      </c>
      <c r="BD5" s="2">
        <v>6.5140000000000003E-2</v>
      </c>
      <c r="BE5">
        <v>3.6520000000000001</v>
      </c>
      <c r="BF5">
        <v>59.716000000000001</v>
      </c>
      <c r="BG5">
        <v>246.40799999999999</v>
      </c>
      <c r="BH5">
        <v>19.93</v>
      </c>
      <c r="BI5">
        <v>738.31399999999996</v>
      </c>
      <c r="BJ5" s="2">
        <v>3.8249999999999999E-2</v>
      </c>
      <c r="BK5" s="2">
        <v>1.5100000000000001E-2</v>
      </c>
      <c r="BL5" s="2">
        <v>-1.58E-3</v>
      </c>
      <c r="BM5">
        <v>-0.94599999999999995</v>
      </c>
      <c r="BN5">
        <v>497.82</v>
      </c>
      <c r="BO5">
        <v>2152.886</v>
      </c>
      <c r="BP5">
        <v>174.13</v>
      </c>
      <c r="BQ5">
        <v>6154.8869999999997</v>
      </c>
      <c r="BR5" s="2">
        <v>0.33418999999999999</v>
      </c>
      <c r="BS5" s="2">
        <v>0.12590000000000001</v>
      </c>
      <c r="BT5">
        <v>2.34</v>
      </c>
      <c r="BU5" s="2">
        <v>4.47E-3</v>
      </c>
      <c r="BV5" s="2">
        <v>-1.498E-2</v>
      </c>
      <c r="BW5">
        <v>-6.5259999999999998</v>
      </c>
      <c r="BX5">
        <v>429.03199999999998</v>
      </c>
      <c r="BY5">
        <v>1863</v>
      </c>
      <c r="BZ5">
        <v>151</v>
      </c>
      <c r="CA5">
        <v>5304.4139999999998</v>
      </c>
      <c r="CB5" s="2">
        <v>0.28999999999999998</v>
      </c>
      <c r="CC5" s="2">
        <v>0.1085</v>
      </c>
      <c r="CD5" s="2">
        <v>-9.0500000000000008E-3</v>
      </c>
      <c r="CE5">
        <v>-14.9</v>
      </c>
      <c r="CF5">
        <v>1631.973</v>
      </c>
      <c r="CG5">
        <v>253.82599999999999</v>
      </c>
      <c r="CH5">
        <v>20.53</v>
      </c>
      <c r="CI5">
        <v>20177.175999999999</v>
      </c>
      <c r="CJ5" s="2">
        <v>-3.9789999999999999E-2</v>
      </c>
      <c r="CK5">
        <v>-1.54</v>
      </c>
      <c r="CL5">
        <v>459.46699999999998</v>
      </c>
      <c r="CM5">
        <v>37.162999999999997</v>
      </c>
      <c r="CN5" s="2">
        <v>3.9399999999999998E-2</v>
      </c>
      <c r="CO5" s="2">
        <v>0.41271999999999998</v>
      </c>
      <c r="CP5">
        <v>6.0839999999999996</v>
      </c>
      <c r="CQ5">
        <v>2.0699999999999998</v>
      </c>
      <c r="CR5">
        <v>0</v>
      </c>
      <c r="CS5" s="2">
        <v>0.14612</v>
      </c>
      <c r="CT5">
        <v>0.77600000000000002</v>
      </c>
      <c r="CU5">
        <v>26</v>
      </c>
      <c r="CV5">
        <v>0</v>
      </c>
      <c r="CW5">
        <v>75.224999999999994</v>
      </c>
      <c r="CX5" s="2">
        <v>3.9700000000000004E-3</v>
      </c>
      <c r="CY5" s="2">
        <v>0</v>
      </c>
      <c r="CZ5" s="2">
        <v>1.5399999999999999E-3</v>
      </c>
      <c r="DA5">
        <v>6442.0910000000003</v>
      </c>
      <c r="DB5">
        <v>3954.172</v>
      </c>
      <c r="DC5" s="2">
        <v>9.5139999999999988E-2</v>
      </c>
      <c r="DD5">
        <v>5.5810000000000004</v>
      </c>
      <c r="DE5">
        <v>68.787999999999997</v>
      </c>
      <c r="DF5">
        <v>289.68099999999998</v>
      </c>
      <c r="DG5">
        <v>23.43</v>
      </c>
      <c r="DH5">
        <v>850.47299999999996</v>
      </c>
      <c r="DI5" s="2">
        <v>4.4969999999999996E-2</v>
      </c>
      <c r="DJ5" s="2">
        <v>1.7399999999999999E-2</v>
      </c>
      <c r="DK5" s="2">
        <v>0.33332999999999996</v>
      </c>
      <c r="DL5">
        <v>3.0000000000000001E-3</v>
      </c>
      <c r="DM5">
        <v>1.2E-2</v>
      </c>
      <c r="DN5">
        <v>0</v>
      </c>
      <c r="DO5">
        <v>0</v>
      </c>
      <c r="DP5">
        <v>0.14599999999999999</v>
      </c>
      <c r="DQ5" s="2">
        <v>0</v>
      </c>
      <c r="DR5" s="2">
        <v>0</v>
      </c>
      <c r="DS5" s="2">
        <v>0.51500000000000001</v>
      </c>
      <c r="DT5">
        <v>0.91400000000000003</v>
      </c>
      <c r="DU5">
        <v>2.6880000000000002</v>
      </c>
      <c r="DV5">
        <v>18</v>
      </c>
      <c r="DW5">
        <v>1.43</v>
      </c>
      <c r="DX5">
        <v>33.231999999999999</v>
      </c>
      <c r="DY5" s="2">
        <v>2.7400000000000002E-3</v>
      </c>
      <c r="DZ5" s="2">
        <v>6.8000000000000005E-4</v>
      </c>
    </row>
    <row r="6" spans="1:130" x14ac:dyDescent="0.3">
      <c r="A6" t="s">
        <v>166</v>
      </c>
      <c r="B6">
        <v>1995</v>
      </c>
      <c r="C6" t="s">
        <v>167</v>
      </c>
      <c r="D6" s="1">
        <v>57420356</v>
      </c>
      <c r="E6" s="1">
        <v>1748659601408</v>
      </c>
      <c r="F6" s="1">
        <v>1748659.6014080001</v>
      </c>
      <c r="G6" s="2">
        <v>0.58924999999999994</v>
      </c>
      <c r="H6">
        <v>0.64400000000000002</v>
      </c>
      <c r="I6">
        <v>30.266999999999999</v>
      </c>
      <c r="J6">
        <v>1.738</v>
      </c>
      <c r="K6">
        <v>32</v>
      </c>
      <c r="L6">
        <v>1.82</v>
      </c>
      <c r="M6" s="2">
        <v>3.7199999999999998E-3</v>
      </c>
      <c r="N6" s="2">
        <v>5.9999999999999995E-4</v>
      </c>
      <c r="O6">
        <v>73.456000000000003</v>
      </c>
      <c r="P6" s="2">
        <v>6.5159999999999996E-2</v>
      </c>
      <c r="Q6">
        <v>11.004</v>
      </c>
      <c r="R6">
        <v>3132.7950000000001</v>
      </c>
      <c r="S6">
        <v>179.886</v>
      </c>
      <c r="T6">
        <v>421.10500000000002</v>
      </c>
      <c r="U6">
        <v>24.18</v>
      </c>
      <c r="V6" s="2">
        <v>-4.7889999999999995E-2</v>
      </c>
      <c r="W6">
        <v>-3.0880000000000001</v>
      </c>
      <c r="X6">
        <v>1069.107</v>
      </c>
      <c r="Y6">
        <v>61.389000000000003</v>
      </c>
      <c r="Z6" s="2">
        <v>4.9409999999999996E-2</v>
      </c>
      <c r="AA6" s="2">
        <v>6.1940000000000002E-2</v>
      </c>
      <c r="AB6">
        <v>419.57</v>
      </c>
      <c r="AC6">
        <v>489.41</v>
      </c>
      <c r="AD6" s="2">
        <v>0.23745999999999998</v>
      </c>
      <c r="AE6" s="2">
        <v>2.8119999999999999E-2</v>
      </c>
      <c r="AF6">
        <v>79.438000000000002</v>
      </c>
      <c r="AG6">
        <v>50577.843999999997</v>
      </c>
      <c r="AH6">
        <v>1.661</v>
      </c>
      <c r="AI6" s="2">
        <v>2.9489999999999999E-2</v>
      </c>
      <c r="AJ6">
        <v>46.078000000000003</v>
      </c>
      <c r="AK6">
        <v>670.84199999999998</v>
      </c>
      <c r="AL6">
        <v>38.520000000000003</v>
      </c>
      <c r="AM6">
        <v>28010.877</v>
      </c>
      <c r="AN6">
        <v>1608.395</v>
      </c>
      <c r="AO6" s="2">
        <v>7.8710000000000002E-2</v>
      </c>
      <c r="AP6" s="2">
        <v>0.55381999999999998</v>
      </c>
      <c r="AQ6" s="2">
        <v>6.4450000000000007E-2</v>
      </c>
      <c r="AR6">
        <v>20.827999999999999</v>
      </c>
      <c r="AS6">
        <v>343.97800000000001</v>
      </c>
      <c r="AT6">
        <v>67</v>
      </c>
      <c r="AU6">
        <v>3.84</v>
      </c>
      <c r="AV6">
        <v>5990.5280000000002</v>
      </c>
      <c r="AW6" s="2">
        <v>-6.1780000000000002E-2</v>
      </c>
      <c r="AX6">
        <v>-2.379</v>
      </c>
      <c r="AY6">
        <v>629.09100000000001</v>
      </c>
      <c r="AZ6">
        <v>36.122999999999998</v>
      </c>
      <c r="BA6" s="2">
        <v>7.8500000000000011E-3</v>
      </c>
      <c r="BB6" s="2">
        <v>0.11843999999999999</v>
      </c>
      <c r="BC6">
        <v>35.950000000000003</v>
      </c>
      <c r="BD6" s="2">
        <v>-7.2020000000000001E-2</v>
      </c>
      <c r="BE6">
        <v>-16.780999999999999</v>
      </c>
      <c r="BF6">
        <v>216.21199999999999</v>
      </c>
      <c r="BG6">
        <v>1242.242</v>
      </c>
      <c r="BH6">
        <v>71.33</v>
      </c>
      <c r="BI6">
        <v>3765.4259999999999</v>
      </c>
      <c r="BJ6" s="2">
        <v>0.14574999999999999</v>
      </c>
      <c r="BK6" s="2">
        <v>7.4450000000000002E-2</v>
      </c>
      <c r="BL6" s="2">
        <v>2.8029999999999999E-2</v>
      </c>
      <c r="BM6">
        <v>33.36</v>
      </c>
      <c r="BN6">
        <v>1295.8030000000001</v>
      </c>
      <c r="BO6">
        <v>7852.442</v>
      </c>
      <c r="BP6">
        <v>450.89</v>
      </c>
      <c r="BQ6">
        <v>22566.967000000001</v>
      </c>
      <c r="BR6" s="2">
        <v>0.92129000000000005</v>
      </c>
      <c r="BS6" s="2">
        <v>0.44618000000000002</v>
      </c>
      <c r="BT6">
        <v>-69.84</v>
      </c>
      <c r="BU6" s="2">
        <v>-0.16646</v>
      </c>
      <c r="BV6" s="2">
        <v>4.7919999999999997E-2</v>
      </c>
      <c r="BW6">
        <v>48.947000000000003</v>
      </c>
      <c r="BX6">
        <v>1070.3989999999999</v>
      </c>
      <c r="BY6">
        <v>6570</v>
      </c>
      <c r="BZ6">
        <v>377</v>
      </c>
      <c r="CA6">
        <v>18641.447</v>
      </c>
      <c r="CB6" s="2">
        <v>0.77</v>
      </c>
      <c r="CC6" s="2">
        <v>0.36857000000000001</v>
      </c>
      <c r="CD6" s="2">
        <v>1.3309999999999999E-2</v>
      </c>
      <c r="CE6">
        <v>14.246</v>
      </c>
      <c r="CF6">
        <v>1084.53</v>
      </c>
      <c r="CG6">
        <v>182.86199999999999</v>
      </c>
      <c r="CH6">
        <v>10.5</v>
      </c>
      <c r="CI6">
        <v>18887.553</v>
      </c>
      <c r="CJ6" s="2">
        <v>-0.1009</v>
      </c>
      <c r="CK6">
        <v>-4.1760000000000002</v>
      </c>
      <c r="CL6">
        <v>648.06899999999996</v>
      </c>
      <c r="CM6">
        <v>37.212000000000003</v>
      </c>
      <c r="CN6" s="2">
        <v>2.145E-2</v>
      </c>
      <c r="CO6" s="2">
        <v>0.37343999999999999</v>
      </c>
      <c r="CP6">
        <v>7.4349999999999996</v>
      </c>
      <c r="CQ6">
        <v>2.33</v>
      </c>
      <c r="CR6">
        <v>0.51</v>
      </c>
      <c r="CS6" s="2">
        <v>7.9740000000000005E-2</v>
      </c>
      <c r="CT6">
        <v>0.54900000000000004</v>
      </c>
      <c r="CU6">
        <v>41</v>
      </c>
      <c r="CV6">
        <v>9</v>
      </c>
      <c r="CW6">
        <v>129.477</v>
      </c>
      <c r="CX6" s="2">
        <v>4.7599999999999995E-3</v>
      </c>
      <c r="CY6" s="2">
        <v>1.0399999999999999E-3</v>
      </c>
      <c r="CZ6" s="2">
        <v>2.5600000000000002E-3</v>
      </c>
      <c r="DA6">
        <v>8523.2839999999997</v>
      </c>
      <c r="DB6">
        <v>2904.1979999999999</v>
      </c>
      <c r="DC6" s="2">
        <v>-5.9210000000000006E-2</v>
      </c>
      <c r="DD6">
        <v>-15.587</v>
      </c>
      <c r="DE6">
        <v>225.405</v>
      </c>
      <c r="DF6">
        <v>1282.82</v>
      </c>
      <c r="DG6">
        <v>73.66</v>
      </c>
      <c r="DH6">
        <v>3925.518</v>
      </c>
      <c r="DI6" s="2">
        <v>0.15051</v>
      </c>
      <c r="DJ6" s="2">
        <v>7.7609999999999998E-2</v>
      </c>
      <c r="DK6" s="2">
        <v>8.5969999999999991E-2</v>
      </c>
      <c r="DL6">
        <v>0</v>
      </c>
      <c r="DM6">
        <v>6.0000000000000001E-3</v>
      </c>
      <c r="DN6">
        <v>0</v>
      </c>
      <c r="DO6">
        <v>0</v>
      </c>
      <c r="DP6">
        <v>0.105</v>
      </c>
      <c r="DQ6" s="2">
        <v>0</v>
      </c>
      <c r="DR6" s="2">
        <v>0</v>
      </c>
      <c r="DS6" s="2">
        <v>2.1700000000000001E-3</v>
      </c>
      <c r="DT6">
        <v>0</v>
      </c>
      <c r="DU6">
        <v>1.4E-2</v>
      </c>
      <c r="DV6">
        <v>0</v>
      </c>
      <c r="DW6">
        <v>0</v>
      </c>
      <c r="DX6">
        <v>0.24299999999999999</v>
      </c>
      <c r="DY6" s="2">
        <v>0</v>
      </c>
      <c r="DZ6" s="2">
        <v>0</v>
      </c>
    </row>
    <row r="7" spans="1:130" x14ac:dyDescent="0.3">
      <c r="A7" t="s">
        <v>165</v>
      </c>
      <c r="B7">
        <v>1995</v>
      </c>
      <c r="C7" t="s">
        <v>168</v>
      </c>
      <c r="D7" s="1">
        <v>81123264</v>
      </c>
      <c r="E7" s="1">
        <v>2347761139712</v>
      </c>
      <c r="F7" s="1">
        <v>2347761.1397119998</v>
      </c>
      <c r="G7" s="2">
        <v>0.24984999999999999</v>
      </c>
      <c r="H7">
        <v>7.1999999999999995E-2</v>
      </c>
      <c r="I7">
        <v>4.431</v>
      </c>
      <c r="J7">
        <v>0.35899999999999999</v>
      </c>
      <c r="K7">
        <v>30</v>
      </c>
      <c r="L7">
        <v>2.4300000000000002</v>
      </c>
      <c r="M7" s="2">
        <v>4.5799999999999999E-3</v>
      </c>
      <c r="N7" s="2">
        <v>8.9999999999999992E-5</v>
      </c>
      <c r="O7">
        <v>596.34100000000001</v>
      </c>
      <c r="P7" s="2">
        <v>-5.1749999999999997E-2</v>
      </c>
      <c r="Q7">
        <v>-57.512</v>
      </c>
      <c r="R7">
        <v>12991.825999999999</v>
      </c>
      <c r="S7">
        <v>1053.9390000000001</v>
      </c>
      <c r="T7">
        <v>3564.2060000000001</v>
      </c>
      <c r="U7">
        <v>289.14</v>
      </c>
      <c r="V7" s="2">
        <v>-2.3460000000000002E-2</v>
      </c>
      <c r="W7">
        <v>-22.085999999999999</v>
      </c>
      <c r="X7">
        <v>11332.706</v>
      </c>
      <c r="Y7">
        <v>919.346</v>
      </c>
      <c r="Z7" s="2">
        <v>0.54481000000000002</v>
      </c>
      <c r="AA7" s="2">
        <v>0.26516000000000001</v>
      </c>
      <c r="AB7">
        <v>535.54</v>
      </c>
      <c r="AC7">
        <v>530.72</v>
      </c>
      <c r="AD7" s="2">
        <v>0.14573</v>
      </c>
      <c r="AE7" s="2">
        <v>5.2199999999999998E-3</v>
      </c>
      <c r="AF7">
        <v>20.623000000000001</v>
      </c>
      <c r="AG7">
        <v>48996.98</v>
      </c>
      <c r="AH7">
        <v>1.6930000000000001</v>
      </c>
      <c r="AI7" s="2">
        <v>1.7599999999999998E-3</v>
      </c>
      <c r="AJ7">
        <v>6.0910000000000002</v>
      </c>
      <c r="AK7">
        <v>4335.5010000000002</v>
      </c>
      <c r="AL7">
        <v>351.71</v>
      </c>
      <c r="AM7">
        <v>42681.25</v>
      </c>
      <c r="AN7">
        <v>3462.442</v>
      </c>
      <c r="AO7" s="2">
        <v>0.66269999999999996</v>
      </c>
      <c r="AP7" s="2">
        <v>0.87109999999999999</v>
      </c>
      <c r="AQ7" s="2">
        <v>9.0399999999999994E-2</v>
      </c>
      <c r="AR7">
        <v>64.445999999999998</v>
      </c>
      <c r="AS7">
        <v>777.37400000000002</v>
      </c>
      <c r="AT7">
        <v>507</v>
      </c>
      <c r="AU7">
        <v>41.1</v>
      </c>
      <c r="AV7">
        <v>9582.6209999999992</v>
      </c>
      <c r="AW7" s="2">
        <v>3.1890000000000002E-2</v>
      </c>
      <c r="AX7">
        <v>5.1959999999999997</v>
      </c>
      <c r="AY7">
        <v>2072.3670000000002</v>
      </c>
      <c r="AZ7">
        <v>168.11699999999999</v>
      </c>
      <c r="BA7" s="2">
        <v>7.7439999999999995E-2</v>
      </c>
      <c r="BB7" s="2">
        <v>0.19558</v>
      </c>
      <c r="BC7">
        <v>316.49</v>
      </c>
      <c r="BD7" s="2">
        <v>6.7390000000000005E-2</v>
      </c>
      <c r="BE7">
        <v>4.024</v>
      </c>
      <c r="BF7">
        <v>63.741</v>
      </c>
      <c r="BG7">
        <v>268.48</v>
      </c>
      <c r="BH7">
        <v>21.78</v>
      </c>
      <c r="BI7">
        <v>785.72799999999995</v>
      </c>
      <c r="BJ7" s="2">
        <v>4.104E-2</v>
      </c>
      <c r="BK7" s="2">
        <v>1.6040000000000002E-2</v>
      </c>
      <c r="BL7" s="2">
        <v>2.904E-2</v>
      </c>
      <c r="BM7">
        <v>14.532</v>
      </c>
      <c r="BN7">
        <v>512.35199999999998</v>
      </c>
      <c r="BO7">
        <v>2206.6419999999998</v>
      </c>
      <c r="BP7">
        <v>179.01</v>
      </c>
      <c r="BQ7">
        <v>6315.7280000000001</v>
      </c>
      <c r="BR7" s="2">
        <v>0.33729999999999999</v>
      </c>
      <c r="BS7" s="2">
        <v>0.12890000000000001</v>
      </c>
      <c r="BT7">
        <v>4.82</v>
      </c>
      <c r="BU7" s="2">
        <v>9.0000000000000011E-3</v>
      </c>
      <c r="BV7" s="2">
        <v>1.9179999999999999E-2</v>
      </c>
      <c r="BW7">
        <v>8.2289999999999992</v>
      </c>
      <c r="BX7">
        <v>437.26100000000002</v>
      </c>
      <c r="BY7">
        <v>1887</v>
      </c>
      <c r="BZ7">
        <v>153</v>
      </c>
      <c r="CA7">
        <v>5390.0820000000003</v>
      </c>
      <c r="CB7" s="2">
        <v>0.28999999999999998</v>
      </c>
      <c r="CC7" s="2">
        <v>0.11001</v>
      </c>
      <c r="CD7" s="2">
        <v>-5.1999999999999995E-4</v>
      </c>
      <c r="CE7">
        <v>-0.84299999999999997</v>
      </c>
      <c r="CF7">
        <v>1631.13</v>
      </c>
      <c r="CG7">
        <v>264.65899999999999</v>
      </c>
      <c r="CH7">
        <v>21.47</v>
      </c>
      <c r="CI7">
        <v>20106.803</v>
      </c>
      <c r="CJ7" s="2">
        <v>7.3000000000000001E-3</v>
      </c>
      <c r="CK7">
        <v>0.27100000000000002</v>
      </c>
      <c r="CL7">
        <v>461.44400000000002</v>
      </c>
      <c r="CM7">
        <v>37.433999999999997</v>
      </c>
      <c r="CN7" s="2">
        <v>4.045E-2</v>
      </c>
      <c r="CO7" s="2">
        <v>0.41037000000000001</v>
      </c>
      <c r="CP7">
        <v>6.5410000000000004</v>
      </c>
      <c r="CQ7">
        <v>2.4300000000000002</v>
      </c>
      <c r="CR7">
        <v>0</v>
      </c>
      <c r="CS7" s="2">
        <v>7.5029999999999999E-2</v>
      </c>
      <c r="CT7">
        <v>0.45600000000000002</v>
      </c>
      <c r="CU7">
        <v>30</v>
      </c>
      <c r="CV7">
        <v>0</v>
      </c>
      <c r="CW7">
        <v>80.628</v>
      </c>
      <c r="CX7" s="2">
        <v>4.5799999999999999E-3</v>
      </c>
      <c r="CY7" s="2">
        <v>0</v>
      </c>
      <c r="CZ7" s="2">
        <v>1.65E-3</v>
      </c>
      <c r="DA7">
        <v>6542.143</v>
      </c>
      <c r="DB7">
        <v>3974.7950000000001</v>
      </c>
      <c r="DC7" s="2">
        <v>9.3030000000000002E-2</v>
      </c>
      <c r="DD7">
        <v>6.3029999999999999</v>
      </c>
      <c r="DE7">
        <v>75.090999999999994</v>
      </c>
      <c r="DF7">
        <v>319.51400000000001</v>
      </c>
      <c r="DG7">
        <v>25.92</v>
      </c>
      <c r="DH7">
        <v>925.64599999999996</v>
      </c>
      <c r="DI7" s="2">
        <v>4.8840000000000001E-2</v>
      </c>
      <c r="DJ7" s="2">
        <v>1.8890000000000001E-2</v>
      </c>
      <c r="DK7" s="2">
        <v>0.25</v>
      </c>
      <c r="DL7">
        <v>3.0000000000000001E-3</v>
      </c>
      <c r="DM7">
        <v>1.4999999999999999E-2</v>
      </c>
      <c r="DN7">
        <v>0</v>
      </c>
      <c r="DO7">
        <v>0</v>
      </c>
      <c r="DP7">
        <v>0.182</v>
      </c>
      <c r="DQ7" s="2">
        <v>0</v>
      </c>
      <c r="DR7" s="2">
        <v>0</v>
      </c>
      <c r="DS7" s="2">
        <v>0.65016999999999991</v>
      </c>
      <c r="DT7">
        <v>1.748</v>
      </c>
      <c r="DU7">
        <v>4.4349999999999996</v>
      </c>
      <c r="DV7">
        <v>21</v>
      </c>
      <c r="DW7">
        <v>1.71</v>
      </c>
      <c r="DX7">
        <v>54.676000000000002</v>
      </c>
      <c r="DY7" s="2">
        <v>3.2200000000000002E-3</v>
      </c>
      <c r="DZ7" s="2">
        <v>1.1200000000000001E-3</v>
      </c>
    </row>
    <row r="8" spans="1:130" x14ac:dyDescent="0.3">
      <c r="A8" t="s">
        <v>166</v>
      </c>
      <c r="B8">
        <v>1996</v>
      </c>
      <c r="C8" t="s">
        <v>167</v>
      </c>
      <c r="D8" s="1">
        <v>57623180</v>
      </c>
      <c r="E8" s="1">
        <v>1773843120128</v>
      </c>
      <c r="F8" s="1">
        <v>1773843.1201279999</v>
      </c>
      <c r="G8" s="2">
        <v>0.49895</v>
      </c>
      <c r="H8">
        <v>0.86699999999999999</v>
      </c>
      <c r="I8">
        <v>45.209000000000003</v>
      </c>
      <c r="J8">
        <v>2.605</v>
      </c>
      <c r="K8">
        <v>33</v>
      </c>
      <c r="L8">
        <v>1.93</v>
      </c>
      <c r="M8" s="2">
        <v>3.8E-3</v>
      </c>
      <c r="N8" s="2">
        <v>8.5999999999999998E-4</v>
      </c>
      <c r="O8">
        <v>79.225999999999999</v>
      </c>
      <c r="P8" s="2">
        <v>5.1060000000000001E-2</v>
      </c>
      <c r="Q8">
        <v>9.1850000000000005</v>
      </c>
      <c r="R8">
        <v>3281.1570000000002</v>
      </c>
      <c r="S8">
        <v>189.071</v>
      </c>
      <c r="T8">
        <v>486.61</v>
      </c>
      <c r="U8">
        <v>28.04</v>
      </c>
      <c r="V8" s="2">
        <v>-8.9200000000000008E-3</v>
      </c>
      <c r="W8">
        <v>-0.54700000000000004</v>
      </c>
      <c r="X8">
        <v>1055.846</v>
      </c>
      <c r="Y8">
        <v>60.841000000000001</v>
      </c>
      <c r="Z8" s="2">
        <v>5.5220000000000005E-2</v>
      </c>
      <c r="AA8" s="2">
        <v>6.2770000000000006E-2</v>
      </c>
      <c r="AB8">
        <v>438.98</v>
      </c>
      <c r="AC8">
        <v>507.79</v>
      </c>
      <c r="AD8" s="2">
        <v>0.23658999999999999</v>
      </c>
      <c r="AE8" s="2">
        <v>3.7240000000000002E-2</v>
      </c>
      <c r="AF8">
        <v>108.15</v>
      </c>
      <c r="AG8">
        <v>52276.671999999999</v>
      </c>
      <c r="AH8">
        <v>1.698</v>
      </c>
      <c r="AI8" s="2">
        <v>4.4039999999999996E-2</v>
      </c>
      <c r="AJ8">
        <v>70.834999999999994</v>
      </c>
      <c r="AK8">
        <v>752.30100000000004</v>
      </c>
      <c r="AL8">
        <v>43.35</v>
      </c>
      <c r="AM8">
        <v>29141.557000000001</v>
      </c>
      <c r="AN8">
        <v>1679.229</v>
      </c>
      <c r="AO8" s="2">
        <v>8.5370000000000001E-2</v>
      </c>
      <c r="AP8" s="2">
        <v>0.55745</v>
      </c>
      <c r="AQ8" s="2">
        <v>0.10515000000000001</v>
      </c>
      <c r="AR8">
        <v>36.167999999999999</v>
      </c>
      <c r="AS8">
        <v>380.14600000000002</v>
      </c>
      <c r="AT8">
        <v>71</v>
      </c>
      <c r="AU8">
        <v>4.12</v>
      </c>
      <c r="AV8">
        <v>6597.11</v>
      </c>
      <c r="AW8" s="2">
        <v>-0.13849</v>
      </c>
      <c r="AX8">
        <v>-5.0030000000000001</v>
      </c>
      <c r="AY8">
        <v>540.05999999999995</v>
      </c>
      <c r="AZ8">
        <v>31.12</v>
      </c>
      <c r="BA8" s="2">
        <v>8.1100000000000009E-3</v>
      </c>
      <c r="BB8" s="2">
        <v>0.12619999999999998</v>
      </c>
      <c r="BC8">
        <v>40.229999999999997</v>
      </c>
      <c r="BD8" s="2">
        <v>-9.6759999999999999E-2</v>
      </c>
      <c r="BE8">
        <v>-20.920999999999999</v>
      </c>
      <c r="BF8">
        <v>195.291</v>
      </c>
      <c r="BG8">
        <v>1122.2909999999999</v>
      </c>
      <c r="BH8">
        <v>64.67</v>
      </c>
      <c r="BI8">
        <v>3389.1120000000001</v>
      </c>
      <c r="BJ8" s="2">
        <v>0.12736</v>
      </c>
      <c r="BK8" s="2">
        <v>6.4829999999999999E-2</v>
      </c>
      <c r="BL8" s="2">
        <v>3.0800000000000001E-2</v>
      </c>
      <c r="BM8">
        <v>37.316000000000003</v>
      </c>
      <c r="BN8">
        <v>1333.1189999999999</v>
      </c>
      <c r="BO8">
        <v>8059.951</v>
      </c>
      <c r="BP8">
        <v>464.44</v>
      </c>
      <c r="BQ8">
        <v>23135.118999999999</v>
      </c>
      <c r="BR8" s="2">
        <v>0.91462999999999994</v>
      </c>
      <c r="BS8" s="2">
        <v>0.44255</v>
      </c>
      <c r="BT8">
        <v>-68.81</v>
      </c>
      <c r="BU8" s="2">
        <v>-0.15675</v>
      </c>
      <c r="BV8" s="2">
        <v>5.3310000000000003E-2</v>
      </c>
      <c r="BW8">
        <v>57.06</v>
      </c>
      <c r="BX8">
        <v>1127.4580000000001</v>
      </c>
      <c r="BY8">
        <v>6895</v>
      </c>
      <c r="BZ8">
        <v>397</v>
      </c>
      <c r="CA8">
        <v>19566.053</v>
      </c>
      <c r="CB8" s="2">
        <v>0.78</v>
      </c>
      <c r="CC8" s="2">
        <v>0.37427999999999995</v>
      </c>
      <c r="CD8" s="2">
        <v>2.35E-2</v>
      </c>
      <c r="CE8">
        <v>25.481999999999999</v>
      </c>
      <c r="CF8">
        <v>1110.0119999999999</v>
      </c>
      <c r="CG8">
        <v>194.19300000000001</v>
      </c>
      <c r="CH8">
        <v>11.19</v>
      </c>
      <c r="CI8">
        <v>19263.289000000001</v>
      </c>
      <c r="CJ8" s="2">
        <v>-0.11731999999999999</v>
      </c>
      <c r="CK8">
        <v>-4.3659999999999997</v>
      </c>
      <c r="CL8">
        <v>570.02099999999996</v>
      </c>
      <c r="CM8">
        <v>32.845999999999997</v>
      </c>
      <c r="CN8" s="2">
        <v>2.2040000000000001E-2</v>
      </c>
      <c r="CO8" s="2">
        <v>0.36848999999999998</v>
      </c>
      <c r="CP8">
        <v>7.7350000000000003</v>
      </c>
      <c r="CQ8">
        <v>2.42</v>
      </c>
      <c r="CR8">
        <v>0.49</v>
      </c>
      <c r="CS8" s="2">
        <v>4.0359999999999993E-2</v>
      </c>
      <c r="CT8">
        <v>0.3</v>
      </c>
      <c r="CU8">
        <v>42</v>
      </c>
      <c r="CV8">
        <v>9</v>
      </c>
      <c r="CW8">
        <v>134.22900000000001</v>
      </c>
      <c r="CX8" s="2">
        <v>4.7699999999999999E-3</v>
      </c>
      <c r="CY8" s="2">
        <v>9.6000000000000002E-4</v>
      </c>
      <c r="CZ8" s="2">
        <v>2.5700000000000002E-3</v>
      </c>
      <c r="DA8">
        <v>8812.2520000000004</v>
      </c>
      <c r="DB8">
        <v>3012.348</v>
      </c>
      <c r="DC8" s="2">
        <v>-7.9160000000000008E-2</v>
      </c>
      <c r="DD8">
        <v>-19.744</v>
      </c>
      <c r="DE8">
        <v>205.661</v>
      </c>
      <c r="DF8">
        <v>1164.462</v>
      </c>
      <c r="DG8">
        <v>67.099999999999994</v>
      </c>
      <c r="DH8">
        <v>3569.067</v>
      </c>
      <c r="DI8" s="2">
        <v>0.13214000000000001</v>
      </c>
      <c r="DJ8" s="2">
        <v>6.8269999999999997E-2</v>
      </c>
      <c r="DK8" s="2">
        <v>0.29916999999999999</v>
      </c>
      <c r="DL8">
        <v>2E-3</v>
      </c>
      <c r="DM8">
        <v>8.0000000000000002E-3</v>
      </c>
      <c r="DN8">
        <v>0</v>
      </c>
      <c r="DO8">
        <v>0</v>
      </c>
      <c r="DP8">
        <v>0.13600000000000001</v>
      </c>
      <c r="DQ8" s="2">
        <v>0</v>
      </c>
      <c r="DR8" s="2">
        <v>0</v>
      </c>
      <c r="DS8" s="2">
        <v>0.57613000000000003</v>
      </c>
      <c r="DT8">
        <v>8.0000000000000002E-3</v>
      </c>
      <c r="DU8">
        <v>2.1999999999999999E-2</v>
      </c>
      <c r="DV8">
        <v>0</v>
      </c>
      <c r="DW8">
        <v>0.01</v>
      </c>
      <c r="DX8">
        <v>0.38100000000000001</v>
      </c>
      <c r="DY8" s="2">
        <v>2.0000000000000002E-5</v>
      </c>
      <c r="DZ8" s="2">
        <v>1.0000000000000001E-5</v>
      </c>
    </row>
    <row r="9" spans="1:130" x14ac:dyDescent="0.3">
      <c r="A9" t="s">
        <v>165</v>
      </c>
      <c r="B9">
        <v>1996</v>
      </c>
      <c r="C9" t="s">
        <v>168</v>
      </c>
      <c r="D9" s="1">
        <v>81300864</v>
      </c>
      <c r="E9" s="1">
        <v>2391519789056</v>
      </c>
      <c r="F9" s="1">
        <v>2391519.7890559998</v>
      </c>
      <c r="G9" s="2">
        <v>0.57074999999999998</v>
      </c>
      <c r="H9">
        <v>0.20499999999999999</v>
      </c>
      <c r="I9">
        <v>6.9450000000000003</v>
      </c>
      <c r="J9">
        <v>0.56499999999999995</v>
      </c>
      <c r="K9">
        <v>31</v>
      </c>
      <c r="L9">
        <v>2.5</v>
      </c>
      <c r="M9" s="2">
        <v>4.5599999999999998E-3</v>
      </c>
      <c r="N9" s="2">
        <v>1.4000000000000001E-4</v>
      </c>
      <c r="O9">
        <v>591.303</v>
      </c>
      <c r="P9" s="2">
        <v>-4.3099999999999996E-3</v>
      </c>
      <c r="Q9">
        <v>-4.5369999999999999</v>
      </c>
      <c r="R9">
        <v>12907.635</v>
      </c>
      <c r="S9">
        <v>1049.402</v>
      </c>
      <c r="T9">
        <v>3640.6750000000002</v>
      </c>
      <c r="U9">
        <v>295.99</v>
      </c>
      <c r="V9" s="2">
        <v>-6.404E-2</v>
      </c>
      <c r="W9">
        <v>-58.872</v>
      </c>
      <c r="X9">
        <v>10583.823</v>
      </c>
      <c r="Y9">
        <v>860.47400000000005</v>
      </c>
      <c r="Z9" s="2">
        <v>0.53990000000000005</v>
      </c>
      <c r="AA9" s="2">
        <v>0.25558999999999998</v>
      </c>
      <c r="AB9">
        <v>542.96</v>
      </c>
      <c r="AC9">
        <v>548.23</v>
      </c>
      <c r="AD9" s="2">
        <v>0.14560000000000001</v>
      </c>
      <c r="AE9" s="2">
        <v>3.2969999999999999E-2</v>
      </c>
      <c r="AF9">
        <v>131.05099999999999</v>
      </c>
      <c r="AG9">
        <v>50501.870999999999</v>
      </c>
      <c r="AH9">
        <v>1.7170000000000001</v>
      </c>
      <c r="AI9" s="2">
        <v>3.3430000000000001E-2</v>
      </c>
      <c r="AJ9">
        <v>115.747</v>
      </c>
      <c r="AK9">
        <v>4448.415</v>
      </c>
      <c r="AL9">
        <v>361.66</v>
      </c>
      <c r="AM9">
        <v>44011.707000000002</v>
      </c>
      <c r="AN9">
        <v>3578.19</v>
      </c>
      <c r="AO9" s="2">
        <v>0.65968999999999989</v>
      </c>
      <c r="AP9" s="2">
        <v>0.87148999999999999</v>
      </c>
      <c r="AQ9" s="2">
        <v>0.11903999999999999</v>
      </c>
      <c r="AR9">
        <v>92.536000000000001</v>
      </c>
      <c r="AS9">
        <v>869.91</v>
      </c>
      <c r="AT9">
        <v>560</v>
      </c>
      <c r="AU9">
        <v>45.56</v>
      </c>
      <c r="AV9">
        <v>10699.886</v>
      </c>
      <c r="AW9" s="2">
        <v>8.2949999999999996E-2</v>
      </c>
      <c r="AX9">
        <v>13.945</v>
      </c>
      <c r="AY9">
        <v>2239.3580000000002</v>
      </c>
      <c r="AZ9">
        <v>182.06200000000001</v>
      </c>
      <c r="BA9" s="2">
        <v>8.3100000000000007E-2</v>
      </c>
      <c r="BB9" s="2">
        <v>0.21187</v>
      </c>
      <c r="BC9">
        <v>324.17</v>
      </c>
      <c r="BD9" s="2">
        <v>-0.12701999999999999</v>
      </c>
      <c r="BE9">
        <v>-8.0960000000000001</v>
      </c>
      <c r="BF9">
        <v>55.645000000000003</v>
      </c>
      <c r="BG9">
        <v>270.108</v>
      </c>
      <c r="BH9">
        <v>21.96</v>
      </c>
      <c r="BI9">
        <v>684.428</v>
      </c>
      <c r="BJ9" s="2">
        <v>4.0060000000000005E-2</v>
      </c>
      <c r="BK9" s="2">
        <v>1.355E-2</v>
      </c>
      <c r="BL9" s="2">
        <v>3.1230000000000001E-2</v>
      </c>
      <c r="BM9">
        <v>15.303000000000001</v>
      </c>
      <c r="BN9">
        <v>527.65599999999995</v>
      </c>
      <c r="BO9">
        <v>2294.81</v>
      </c>
      <c r="BP9">
        <v>186.57</v>
      </c>
      <c r="BQ9">
        <v>6490.1629999999996</v>
      </c>
      <c r="BR9" s="2">
        <v>0.34031</v>
      </c>
      <c r="BS9" s="2">
        <v>0.12851000000000001</v>
      </c>
      <c r="BT9">
        <v>-5.27</v>
      </c>
      <c r="BU9" s="2">
        <v>-9.7099999999999999E-3</v>
      </c>
      <c r="BV9" s="2">
        <v>4.8750000000000002E-2</v>
      </c>
      <c r="BW9">
        <v>21.318000000000001</v>
      </c>
      <c r="BX9">
        <v>458.57900000000001</v>
      </c>
      <c r="BY9">
        <v>1968</v>
      </c>
      <c r="BZ9">
        <v>160</v>
      </c>
      <c r="CA9">
        <v>5640.5209999999997</v>
      </c>
      <c r="CB9" s="2">
        <v>0.28999999999999998</v>
      </c>
      <c r="CC9" s="2">
        <v>0.11169000000000001</v>
      </c>
      <c r="CD9" s="2">
        <v>1.7010000000000001E-2</v>
      </c>
      <c r="CE9">
        <v>27.748999999999999</v>
      </c>
      <c r="CF9">
        <v>1658.8779999999999</v>
      </c>
      <c r="CG9">
        <v>247.35300000000001</v>
      </c>
      <c r="CH9">
        <v>20.11</v>
      </c>
      <c r="CI9">
        <v>20404.187999999998</v>
      </c>
      <c r="CJ9" s="2">
        <v>8.3099999999999997E-3</v>
      </c>
      <c r="CK9">
        <v>0.311</v>
      </c>
      <c r="CL9">
        <v>464.26299999999998</v>
      </c>
      <c r="CM9">
        <v>37.744999999999997</v>
      </c>
      <c r="CN9" s="2">
        <v>3.6680000000000004E-2</v>
      </c>
      <c r="CO9" s="2">
        <v>0.40403</v>
      </c>
      <c r="CP9">
        <v>6.8410000000000002</v>
      </c>
      <c r="CQ9">
        <v>2.5</v>
      </c>
      <c r="CR9">
        <v>0</v>
      </c>
      <c r="CS9" s="2">
        <v>4.5880000000000004E-2</v>
      </c>
      <c r="CT9">
        <v>0.3</v>
      </c>
      <c r="CU9">
        <v>31</v>
      </c>
      <c r="CV9">
        <v>0</v>
      </c>
      <c r="CW9">
        <v>84.143000000000001</v>
      </c>
      <c r="CX9" s="2">
        <v>4.5599999999999998E-3</v>
      </c>
      <c r="CY9" s="2">
        <v>0</v>
      </c>
      <c r="CZ9" s="2">
        <v>1.67E-3</v>
      </c>
      <c r="DA9">
        <v>6743.2250000000004</v>
      </c>
      <c r="DB9">
        <v>4105.8459999999995</v>
      </c>
      <c r="DC9" s="2">
        <v>-7.4829999999999994E-2</v>
      </c>
      <c r="DD9">
        <v>-6.0149999999999997</v>
      </c>
      <c r="DE9">
        <v>69.076999999999998</v>
      </c>
      <c r="DF9">
        <v>326.565</v>
      </c>
      <c r="DG9">
        <v>26.55</v>
      </c>
      <c r="DH9">
        <v>849.64099999999996</v>
      </c>
      <c r="DI9" s="2">
        <v>4.8430000000000001E-2</v>
      </c>
      <c r="DJ9" s="2">
        <v>1.6819999999999998E-2</v>
      </c>
      <c r="DK9" s="2">
        <v>0.2</v>
      </c>
      <c r="DL9">
        <v>3.0000000000000001E-3</v>
      </c>
      <c r="DM9">
        <v>1.7999999999999999E-2</v>
      </c>
      <c r="DN9">
        <v>0.123</v>
      </c>
      <c r="DO9">
        <v>0.01</v>
      </c>
      <c r="DP9">
        <v>0.218</v>
      </c>
      <c r="DQ9" s="2">
        <v>2.0000000000000002E-5</v>
      </c>
      <c r="DR9" s="2">
        <v>0</v>
      </c>
      <c r="DS9" s="2">
        <v>0.35466999999999999</v>
      </c>
      <c r="DT9">
        <v>1.573</v>
      </c>
      <c r="DU9">
        <v>6.0090000000000003</v>
      </c>
      <c r="DV9">
        <v>26</v>
      </c>
      <c r="DW9">
        <v>2.08</v>
      </c>
      <c r="DX9">
        <v>73.906000000000006</v>
      </c>
      <c r="DY9" s="2">
        <v>3.79E-3</v>
      </c>
      <c r="DZ9" s="2">
        <v>1.4599999999999999E-3</v>
      </c>
    </row>
    <row r="10" spans="1:130" x14ac:dyDescent="0.3">
      <c r="A10" t="s">
        <v>166</v>
      </c>
      <c r="B10">
        <v>1997</v>
      </c>
      <c r="C10" t="s">
        <v>167</v>
      </c>
      <c r="D10" s="1">
        <v>57839364</v>
      </c>
      <c r="E10" s="1">
        <v>1816394858496</v>
      </c>
      <c r="F10" s="1">
        <v>1816394.8584960001</v>
      </c>
      <c r="G10" s="2">
        <v>0.30776999999999999</v>
      </c>
      <c r="H10">
        <v>0.80200000000000005</v>
      </c>
      <c r="I10">
        <v>58.902000000000001</v>
      </c>
      <c r="J10">
        <v>3.407</v>
      </c>
      <c r="K10">
        <v>37</v>
      </c>
      <c r="L10">
        <v>2.16</v>
      </c>
      <c r="M10" s="2">
        <v>4.3299999999999996E-3</v>
      </c>
      <c r="N10" s="2">
        <v>1.15E-3</v>
      </c>
      <c r="O10">
        <v>70.858000000000004</v>
      </c>
      <c r="P10" s="2">
        <v>-0.12086999999999999</v>
      </c>
      <c r="Q10">
        <v>-22.853000000000002</v>
      </c>
      <c r="R10">
        <v>2873.7809999999999</v>
      </c>
      <c r="S10">
        <v>166.21799999999999</v>
      </c>
      <c r="T10">
        <v>383.476</v>
      </c>
      <c r="U10">
        <v>22.18</v>
      </c>
      <c r="V10" s="2">
        <v>-0.17473</v>
      </c>
      <c r="W10">
        <v>-10.631</v>
      </c>
      <c r="X10">
        <v>868.09799999999996</v>
      </c>
      <c r="Y10">
        <v>50.21</v>
      </c>
      <c r="Z10" s="2">
        <v>4.4420000000000001E-2</v>
      </c>
      <c r="AA10" s="2">
        <v>5.6050000000000003E-2</v>
      </c>
      <c r="AB10">
        <v>433.91</v>
      </c>
      <c r="AC10">
        <v>499.31</v>
      </c>
      <c r="AD10" s="2">
        <v>0.23702000000000001</v>
      </c>
      <c r="AE10" s="2">
        <v>-1.5489999999999999E-2</v>
      </c>
      <c r="AF10">
        <v>-46.668999999999997</v>
      </c>
      <c r="AG10">
        <v>51274.413999999997</v>
      </c>
      <c r="AH10">
        <v>1.633</v>
      </c>
      <c r="AI10" s="2">
        <v>-2.1600000000000001E-2</v>
      </c>
      <c r="AJ10">
        <v>-36.277000000000001</v>
      </c>
      <c r="AK10">
        <v>674.97299999999996</v>
      </c>
      <c r="AL10">
        <v>39.04</v>
      </c>
      <c r="AM10">
        <v>28405.43</v>
      </c>
      <c r="AN10">
        <v>1642.952</v>
      </c>
      <c r="AO10" s="2">
        <v>7.8189999999999996E-2</v>
      </c>
      <c r="AP10" s="2">
        <v>0.55398999999999998</v>
      </c>
      <c r="AQ10" s="2">
        <v>-4.1239999999999999E-2</v>
      </c>
      <c r="AR10">
        <v>-15.677</v>
      </c>
      <c r="AS10">
        <v>364.46899999999999</v>
      </c>
      <c r="AT10">
        <v>85</v>
      </c>
      <c r="AU10">
        <v>4.9000000000000004</v>
      </c>
      <c r="AV10">
        <v>6301.4049999999997</v>
      </c>
      <c r="AW10" s="2">
        <v>-0.11595000000000001</v>
      </c>
      <c r="AX10">
        <v>-3.6080000000000001</v>
      </c>
      <c r="AY10">
        <v>475.65600000000001</v>
      </c>
      <c r="AZ10">
        <v>27.512</v>
      </c>
      <c r="BA10" s="2">
        <v>9.8099999999999993E-3</v>
      </c>
      <c r="BB10" s="2">
        <v>0.1229</v>
      </c>
      <c r="BC10">
        <v>35.380000000000003</v>
      </c>
      <c r="BD10" s="2">
        <v>-3.4520000000000002E-2</v>
      </c>
      <c r="BE10">
        <v>-6.742</v>
      </c>
      <c r="BF10">
        <v>188.54900000000001</v>
      </c>
      <c r="BG10">
        <v>1073.836</v>
      </c>
      <c r="BH10">
        <v>62.11</v>
      </c>
      <c r="BI10">
        <v>3259.8809999999999</v>
      </c>
      <c r="BJ10" s="2">
        <v>0.12439</v>
      </c>
      <c r="BK10" s="2">
        <v>6.3579999999999998E-2</v>
      </c>
      <c r="BL10" s="2">
        <v>-6.5700000000000003E-3</v>
      </c>
      <c r="BM10">
        <v>-10.391999999999999</v>
      </c>
      <c r="BN10">
        <v>1322.7270000000001</v>
      </c>
      <c r="BO10">
        <v>7957.7290000000003</v>
      </c>
      <c r="BP10">
        <v>460.27</v>
      </c>
      <c r="BQ10">
        <v>22868.982</v>
      </c>
      <c r="BR10" s="2">
        <v>0.92181000000000002</v>
      </c>
      <c r="BS10" s="2">
        <v>0.44601000000000002</v>
      </c>
      <c r="BT10">
        <v>-65.400000000000006</v>
      </c>
      <c r="BU10" s="2">
        <v>-0.15071999999999999</v>
      </c>
      <c r="BV10" s="2">
        <v>-4.6700000000000005E-3</v>
      </c>
      <c r="BW10">
        <v>-5.2690000000000001</v>
      </c>
      <c r="BX10">
        <v>1122.1890000000001</v>
      </c>
      <c r="BY10">
        <v>6838</v>
      </c>
      <c r="BZ10">
        <v>395</v>
      </c>
      <c r="CA10">
        <v>19401.82</v>
      </c>
      <c r="CB10" s="2">
        <v>0.79</v>
      </c>
      <c r="CC10" s="2">
        <v>0.37839</v>
      </c>
      <c r="CD10" s="2">
        <v>2.0300000000000001E-3</v>
      </c>
      <c r="CE10">
        <v>2.2530000000000001</v>
      </c>
      <c r="CF10">
        <v>1112.2650000000001</v>
      </c>
      <c r="CG10">
        <v>206.78</v>
      </c>
      <c r="CH10">
        <v>11.96</v>
      </c>
      <c r="CI10">
        <v>19230.243999999999</v>
      </c>
      <c r="CJ10" s="2">
        <v>-0.17618999999999999</v>
      </c>
      <c r="CK10">
        <v>-5.7869999999999999</v>
      </c>
      <c r="CL10">
        <v>467.83300000000003</v>
      </c>
      <c r="CM10">
        <v>27.059000000000001</v>
      </c>
      <c r="CN10" s="2">
        <v>2.3949999999999999E-2</v>
      </c>
      <c r="CO10" s="2">
        <v>0.37505000000000005</v>
      </c>
      <c r="CP10">
        <v>8.5389999999999997</v>
      </c>
      <c r="CQ10">
        <v>2.67</v>
      </c>
      <c r="CR10">
        <v>0.51</v>
      </c>
      <c r="CS10" s="2">
        <v>0.10400000000000001</v>
      </c>
      <c r="CT10">
        <v>0.80400000000000005</v>
      </c>
      <c r="CU10">
        <v>46</v>
      </c>
      <c r="CV10">
        <v>9</v>
      </c>
      <c r="CW10">
        <v>147.636</v>
      </c>
      <c r="CX10" s="2">
        <v>5.3500000000000006E-3</v>
      </c>
      <c r="CY10" s="2">
        <v>1.0199999999999999E-3</v>
      </c>
      <c r="CZ10" s="2">
        <v>2.8799999999999997E-3</v>
      </c>
      <c r="DA10">
        <v>8632.7019999999993</v>
      </c>
      <c r="DB10">
        <v>2965.6790000000001</v>
      </c>
      <c r="DC10" s="2">
        <v>-1.719E-2</v>
      </c>
      <c r="DD10">
        <v>-5.1230000000000002</v>
      </c>
      <c r="DE10">
        <v>200.53800000000001</v>
      </c>
      <c r="DF10">
        <v>1120.171</v>
      </c>
      <c r="DG10">
        <v>64.790000000000006</v>
      </c>
      <c r="DH10">
        <v>3467.1619999999998</v>
      </c>
      <c r="DI10" s="2">
        <v>0.12976000000000001</v>
      </c>
      <c r="DJ10" s="2">
        <v>6.762E-2</v>
      </c>
      <c r="DK10" s="2">
        <v>0.28544000000000003</v>
      </c>
      <c r="DL10">
        <v>2E-3</v>
      </c>
      <c r="DM10">
        <v>0.01</v>
      </c>
      <c r="DN10">
        <v>0</v>
      </c>
      <c r="DO10">
        <v>0</v>
      </c>
      <c r="DP10">
        <v>0.17399999999999999</v>
      </c>
      <c r="DQ10" s="2">
        <v>0</v>
      </c>
      <c r="DR10" s="2">
        <v>0</v>
      </c>
      <c r="DS10" s="2">
        <v>0.49773000000000001</v>
      </c>
      <c r="DT10">
        <v>1.0999999999999999E-2</v>
      </c>
      <c r="DU10">
        <v>3.3000000000000002E-2</v>
      </c>
      <c r="DV10">
        <v>0</v>
      </c>
      <c r="DW10">
        <v>0.01</v>
      </c>
      <c r="DX10">
        <v>0.56899999999999995</v>
      </c>
      <c r="DY10" s="2">
        <v>2.0000000000000002E-5</v>
      </c>
      <c r="DZ10" s="2">
        <v>1.0000000000000001E-5</v>
      </c>
    </row>
    <row r="11" spans="1:130" x14ac:dyDescent="0.3">
      <c r="A11" t="s">
        <v>165</v>
      </c>
      <c r="B11">
        <v>1997</v>
      </c>
      <c r="C11" t="s">
        <v>168</v>
      </c>
      <c r="D11" s="1">
        <v>81436096</v>
      </c>
      <c r="E11" s="1">
        <v>2461046145024</v>
      </c>
      <c r="F11" s="1">
        <v>2461046.1450240002</v>
      </c>
      <c r="G11" s="2">
        <v>0.63568000000000002</v>
      </c>
      <c r="H11">
        <v>0.35899999999999999</v>
      </c>
      <c r="I11">
        <v>11.340999999999999</v>
      </c>
      <c r="J11">
        <v>0.92400000000000004</v>
      </c>
      <c r="K11">
        <v>33</v>
      </c>
      <c r="L11">
        <v>2.65</v>
      </c>
      <c r="M11" s="2">
        <v>4.8500000000000001E-3</v>
      </c>
      <c r="N11" s="2">
        <v>2.3000000000000001E-4</v>
      </c>
      <c r="O11">
        <v>575.27</v>
      </c>
      <c r="P11" s="2">
        <v>-3.1050000000000001E-2</v>
      </c>
      <c r="Q11">
        <v>-32.584000000000003</v>
      </c>
      <c r="R11">
        <v>12486.088</v>
      </c>
      <c r="S11">
        <v>1016.818</v>
      </c>
      <c r="T11">
        <v>3491.5720000000001</v>
      </c>
      <c r="U11">
        <v>284.33999999999997</v>
      </c>
      <c r="V11" s="2">
        <v>-4.2169999999999999E-2</v>
      </c>
      <c r="W11">
        <v>-36.283000000000001</v>
      </c>
      <c r="X11">
        <v>10120.712</v>
      </c>
      <c r="Y11">
        <v>824.19100000000003</v>
      </c>
      <c r="Z11" s="2">
        <v>0.52041999999999999</v>
      </c>
      <c r="AA11" s="2">
        <v>0.25086999999999998</v>
      </c>
      <c r="AB11">
        <v>544.02</v>
      </c>
      <c r="AC11">
        <v>546.37</v>
      </c>
      <c r="AD11" s="2">
        <v>0.14801999999999998</v>
      </c>
      <c r="AE11" s="2">
        <v>-1.2829999999999999E-2</v>
      </c>
      <c r="AF11">
        <v>-52.658999999999999</v>
      </c>
      <c r="AG11">
        <v>49771.383000000002</v>
      </c>
      <c r="AH11">
        <v>1.647</v>
      </c>
      <c r="AI11" s="2">
        <v>-2.2749999999999999E-2</v>
      </c>
      <c r="AJ11">
        <v>-81.411000000000001</v>
      </c>
      <c r="AK11">
        <v>4334.5640000000003</v>
      </c>
      <c r="AL11">
        <v>352.99</v>
      </c>
      <c r="AM11">
        <v>42938.93</v>
      </c>
      <c r="AN11">
        <v>3496.779</v>
      </c>
      <c r="AO11" s="2">
        <v>0.64605999999999997</v>
      </c>
      <c r="AP11" s="2">
        <v>0.86272000000000004</v>
      </c>
      <c r="AQ11" s="2">
        <v>-4.4690000000000001E-2</v>
      </c>
      <c r="AR11">
        <v>-38.875999999999998</v>
      </c>
      <c r="AS11">
        <v>831.03399999999999</v>
      </c>
      <c r="AT11">
        <v>591</v>
      </c>
      <c r="AU11">
        <v>48.1</v>
      </c>
      <c r="AV11">
        <v>10204.732</v>
      </c>
      <c r="AW11" s="2">
        <v>-1.7000000000000001E-2</v>
      </c>
      <c r="AX11">
        <v>-3.0950000000000002</v>
      </c>
      <c r="AY11">
        <v>2197.6350000000002</v>
      </c>
      <c r="AZ11">
        <v>178.96700000000001</v>
      </c>
      <c r="BA11" s="2">
        <v>8.8040000000000007E-2</v>
      </c>
      <c r="BB11" s="2">
        <v>0.20502999999999999</v>
      </c>
      <c r="BC11">
        <v>314.31</v>
      </c>
      <c r="BD11" s="2">
        <v>7.1199999999999996E-3</v>
      </c>
      <c r="BE11">
        <v>0.39600000000000002</v>
      </c>
      <c r="BF11">
        <v>56.040999999999997</v>
      </c>
      <c r="BG11">
        <v>213.173</v>
      </c>
      <c r="BH11">
        <v>17.36</v>
      </c>
      <c r="BI11">
        <v>688.15700000000004</v>
      </c>
      <c r="BJ11" s="2">
        <v>3.177E-2</v>
      </c>
      <c r="BK11" s="2">
        <v>1.383E-2</v>
      </c>
      <c r="BL11" s="2">
        <v>5.5629999999999999E-2</v>
      </c>
      <c r="BM11">
        <v>28.751999999999999</v>
      </c>
      <c r="BN11">
        <v>556.40800000000002</v>
      </c>
      <c r="BO11">
        <v>2374.623</v>
      </c>
      <c r="BP11">
        <v>193.38</v>
      </c>
      <c r="BQ11">
        <v>6832.451</v>
      </c>
      <c r="BR11" s="2">
        <v>0.35393999999999998</v>
      </c>
      <c r="BS11" s="2">
        <v>0.13727999999999999</v>
      </c>
      <c r="BT11">
        <v>-2.35</v>
      </c>
      <c r="BU11" s="2">
        <v>-4.3200000000000001E-3</v>
      </c>
      <c r="BV11" s="2">
        <v>5.3929999999999999E-2</v>
      </c>
      <c r="BW11">
        <v>24.728999999999999</v>
      </c>
      <c r="BX11">
        <v>483.30799999999999</v>
      </c>
      <c r="BY11">
        <v>2092</v>
      </c>
      <c r="BZ11">
        <v>170</v>
      </c>
      <c r="CA11">
        <v>5934.8159999999998</v>
      </c>
      <c r="CB11" s="2">
        <v>0.31</v>
      </c>
      <c r="CC11" s="2">
        <v>0.11924</v>
      </c>
      <c r="CD11" s="2">
        <v>-6.0000000000000001E-3</v>
      </c>
      <c r="CE11">
        <v>-9.9510000000000005</v>
      </c>
      <c r="CF11">
        <v>1648.9269999999999</v>
      </c>
      <c r="CG11">
        <v>252.345</v>
      </c>
      <c r="CH11">
        <v>20.55</v>
      </c>
      <c r="CI11">
        <v>20248.111000000001</v>
      </c>
      <c r="CJ11" s="2">
        <v>-5.867E-2</v>
      </c>
      <c r="CK11">
        <v>-2.2149999999999999</v>
      </c>
      <c r="CL11">
        <v>436.298</v>
      </c>
      <c r="CM11">
        <v>35.53</v>
      </c>
      <c r="CN11" s="2">
        <v>3.7610000000000005E-2</v>
      </c>
      <c r="CO11" s="2">
        <v>0.40682000000000001</v>
      </c>
      <c r="CP11">
        <v>7.3319999999999999</v>
      </c>
      <c r="CQ11">
        <v>2.65</v>
      </c>
      <c r="CR11">
        <v>0</v>
      </c>
      <c r="CS11" s="2">
        <v>7.1859999999999993E-2</v>
      </c>
      <c r="CT11">
        <v>0.49199999999999999</v>
      </c>
      <c r="CU11">
        <v>33</v>
      </c>
      <c r="CV11">
        <v>0</v>
      </c>
      <c r="CW11">
        <v>90.04</v>
      </c>
      <c r="CX11" s="2">
        <v>4.8500000000000001E-3</v>
      </c>
      <c r="CY11" s="2">
        <v>0</v>
      </c>
      <c r="CZ11" s="2">
        <v>1.81E-3</v>
      </c>
      <c r="DA11">
        <v>6709.1869999999999</v>
      </c>
      <c r="DB11">
        <v>4053.1869999999999</v>
      </c>
      <c r="DC11" s="2">
        <v>6.7299999999999999E-2</v>
      </c>
      <c r="DD11">
        <v>4.0229999999999997</v>
      </c>
      <c r="DE11">
        <v>73.099999999999994</v>
      </c>
      <c r="DF11">
        <v>283.04399999999998</v>
      </c>
      <c r="DG11">
        <v>23.05</v>
      </c>
      <c r="DH11">
        <v>897.63499999999999</v>
      </c>
      <c r="DI11" s="2">
        <v>4.2190000000000005E-2</v>
      </c>
      <c r="DJ11" s="2">
        <v>1.804E-2</v>
      </c>
      <c r="DK11" s="2">
        <v>0.83333000000000002</v>
      </c>
      <c r="DL11">
        <v>1.4999999999999999E-2</v>
      </c>
      <c r="DM11">
        <v>3.3000000000000002E-2</v>
      </c>
      <c r="DN11">
        <v>0.123</v>
      </c>
      <c r="DO11">
        <v>0.01</v>
      </c>
      <c r="DP11">
        <v>0.39900000000000002</v>
      </c>
      <c r="DQ11" s="2">
        <v>2.0000000000000002E-5</v>
      </c>
      <c r="DR11" s="2">
        <v>1.0000000000000001E-5</v>
      </c>
      <c r="DS11" s="2">
        <v>0.45965000000000006</v>
      </c>
      <c r="DT11">
        <v>2.762</v>
      </c>
      <c r="DU11">
        <v>8.77</v>
      </c>
      <c r="DV11">
        <v>37</v>
      </c>
      <c r="DW11">
        <v>3.03</v>
      </c>
      <c r="DX11">
        <v>107.697</v>
      </c>
      <c r="DY11" s="2">
        <v>5.5500000000000002E-3</v>
      </c>
      <c r="DZ11" s="2">
        <v>2.16E-3</v>
      </c>
    </row>
    <row r="12" spans="1:130" x14ac:dyDescent="0.3">
      <c r="A12" t="s">
        <v>166</v>
      </c>
      <c r="B12">
        <v>1998</v>
      </c>
      <c r="C12" t="s">
        <v>167</v>
      </c>
      <c r="D12" s="1">
        <v>58080344</v>
      </c>
      <c r="E12" s="1">
        <v>1882050265088</v>
      </c>
      <c r="F12" s="1">
        <v>1882050.2650880001</v>
      </c>
      <c r="G12" s="2">
        <v>-0.14133999999999999</v>
      </c>
      <c r="H12">
        <v>-0.48199999999999998</v>
      </c>
      <c r="I12">
        <v>50.366999999999997</v>
      </c>
      <c r="J12">
        <v>2.9249999999999998</v>
      </c>
      <c r="K12">
        <v>37</v>
      </c>
      <c r="L12">
        <v>2.13</v>
      </c>
      <c r="M12" s="2">
        <v>4.2100000000000002E-3</v>
      </c>
      <c r="N12" s="2">
        <v>9.6000000000000002E-4</v>
      </c>
      <c r="O12">
        <v>96.753</v>
      </c>
      <c r="P12" s="2">
        <v>0.18436</v>
      </c>
      <c r="Q12">
        <v>30.643999999999998</v>
      </c>
      <c r="R12">
        <v>3389.4659999999999</v>
      </c>
      <c r="S12">
        <v>196.86099999999999</v>
      </c>
      <c r="T12">
        <v>577.30399999999997</v>
      </c>
      <c r="U12">
        <v>33.53</v>
      </c>
      <c r="V12" s="2">
        <v>-0.17215</v>
      </c>
      <c r="W12">
        <v>-8.6440000000000001</v>
      </c>
      <c r="X12">
        <v>715.66899999999998</v>
      </c>
      <c r="Y12">
        <v>41.566000000000003</v>
      </c>
      <c r="Z12" s="2">
        <v>6.6269999999999996E-2</v>
      </c>
      <c r="AA12" s="2">
        <v>6.4820000000000003E-2</v>
      </c>
      <c r="AB12">
        <v>448.37</v>
      </c>
      <c r="AC12">
        <v>505.93</v>
      </c>
      <c r="AD12" s="2">
        <v>0.23043</v>
      </c>
      <c r="AE12" s="2">
        <v>2.4119999999999999E-2</v>
      </c>
      <c r="AF12">
        <v>71.542000000000002</v>
      </c>
      <c r="AG12">
        <v>52293.457000000002</v>
      </c>
      <c r="AH12">
        <v>1.6140000000000001</v>
      </c>
      <c r="AI12" s="2">
        <v>5.9810000000000002E-2</v>
      </c>
      <c r="AJ12">
        <v>98.27</v>
      </c>
      <c r="AK12">
        <v>938.35500000000002</v>
      </c>
      <c r="AL12">
        <v>54.5</v>
      </c>
      <c r="AM12">
        <v>29979.543000000001</v>
      </c>
      <c r="AN12">
        <v>1741.222</v>
      </c>
      <c r="AO12" s="2">
        <v>0.10772</v>
      </c>
      <c r="AP12" s="2">
        <v>0.57328999999999997</v>
      </c>
      <c r="AQ12" s="2">
        <v>6.6189999999999999E-2</v>
      </c>
      <c r="AR12">
        <v>24.126000000000001</v>
      </c>
      <c r="AS12">
        <v>388.59500000000003</v>
      </c>
      <c r="AT12">
        <v>86</v>
      </c>
      <c r="AU12">
        <v>4.97</v>
      </c>
      <c r="AV12">
        <v>6690.6419999999998</v>
      </c>
      <c r="AW12" s="2">
        <v>-0.13635999999999998</v>
      </c>
      <c r="AX12">
        <v>-3.7519999999999998</v>
      </c>
      <c r="AY12">
        <v>409.09</v>
      </c>
      <c r="AZ12">
        <v>23.76</v>
      </c>
      <c r="BA12" s="2">
        <v>9.8200000000000006E-3</v>
      </c>
      <c r="BB12" s="2">
        <v>0.12794</v>
      </c>
      <c r="BC12">
        <v>48.95</v>
      </c>
      <c r="BD12" s="2">
        <v>-2.6210000000000001E-2</v>
      </c>
      <c r="BE12">
        <v>-4.9409999999999998</v>
      </c>
      <c r="BF12">
        <v>183.608</v>
      </c>
      <c r="BG12">
        <v>1046.309</v>
      </c>
      <c r="BH12">
        <v>60.77</v>
      </c>
      <c r="BI12">
        <v>3161.2809999999999</v>
      </c>
      <c r="BJ12" s="2">
        <v>0.12012</v>
      </c>
      <c r="BK12" s="2">
        <v>6.0449999999999997E-2</v>
      </c>
      <c r="BL12" s="2">
        <v>-2.0760000000000001E-2</v>
      </c>
      <c r="BM12">
        <v>-26.728000000000002</v>
      </c>
      <c r="BN12">
        <v>1296</v>
      </c>
      <c r="BO12">
        <v>7772.509</v>
      </c>
      <c r="BP12">
        <v>451.43</v>
      </c>
      <c r="BQ12">
        <v>22313.91</v>
      </c>
      <c r="BR12" s="2">
        <v>0.89227999999999996</v>
      </c>
      <c r="BS12" s="2">
        <v>0.42670999999999998</v>
      </c>
      <c r="BT12">
        <v>-57.56</v>
      </c>
      <c r="BU12" s="2">
        <v>-0.12837999999999999</v>
      </c>
      <c r="BV12" s="2">
        <v>-1.8950000000000002E-2</v>
      </c>
      <c r="BW12">
        <v>-21.262</v>
      </c>
      <c r="BX12">
        <v>1100.9269999999999</v>
      </c>
      <c r="BY12">
        <v>6680</v>
      </c>
      <c r="BZ12">
        <v>388</v>
      </c>
      <c r="CA12">
        <v>18955.248</v>
      </c>
      <c r="CB12" s="2">
        <v>0.77</v>
      </c>
      <c r="CC12" s="2">
        <v>0.36247999999999997</v>
      </c>
      <c r="CD12" s="2">
        <v>3.9109999999999999E-2</v>
      </c>
      <c r="CE12">
        <v>43.500999999999998</v>
      </c>
      <c r="CF12">
        <v>1155.7660000000001</v>
      </c>
      <c r="CG12">
        <v>275.48</v>
      </c>
      <c r="CH12">
        <v>16</v>
      </c>
      <c r="CI12">
        <v>19899.436000000002</v>
      </c>
      <c r="CJ12" s="2">
        <v>-0.10531</v>
      </c>
      <c r="CK12">
        <v>-2.85</v>
      </c>
      <c r="CL12">
        <v>416.83</v>
      </c>
      <c r="CM12">
        <v>24.21</v>
      </c>
      <c r="CN12" s="2">
        <v>3.1620000000000002E-2</v>
      </c>
      <c r="CO12" s="2">
        <v>0.38052999999999998</v>
      </c>
      <c r="CP12">
        <v>8.4689999999999994</v>
      </c>
      <c r="CQ12">
        <v>2.65</v>
      </c>
      <c r="CR12">
        <v>0.52</v>
      </c>
      <c r="CS12" s="2">
        <v>-8.2199999999999999E-3</v>
      </c>
      <c r="CT12">
        <v>-7.0000000000000007E-2</v>
      </c>
      <c r="CU12">
        <v>46</v>
      </c>
      <c r="CV12">
        <v>9</v>
      </c>
      <c r="CW12">
        <v>145.81399999999999</v>
      </c>
      <c r="CX12" s="2">
        <v>5.2399999999999999E-3</v>
      </c>
      <c r="CY12" s="2">
        <v>1.0299999999999999E-3</v>
      </c>
      <c r="CZ12" s="2">
        <v>2.7900000000000004E-3</v>
      </c>
      <c r="DA12">
        <v>8710.8639999999996</v>
      </c>
      <c r="DB12">
        <v>3037.2220000000002</v>
      </c>
      <c r="DC12" s="2">
        <v>-3.1E-2</v>
      </c>
      <c r="DD12">
        <v>-5.4660000000000002</v>
      </c>
      <c r="DE12">
        <v>195.072</v>
      </c>
      <c r="DF12">
        <v>1092.28</v>
      </c>
      <c r="DG12">
        <v>63.44</v>
      </c>
      <c r="DH12">
        <v>3358.663</v>
      </c>
      <c r="DI12" s="2">
        <v>0.12539</v>
      </c>
      <c r="DJ12" s="2">
        <v>6.4229999999999995E-2</v>
      </c>
      <c r="DK12" s="2">
        <v>0.20010000000000003</v>
      </c>
      <c r="DL12">
        <v>2E-3</v>
      </c>
      <c r="DM12">
        <v>1.2E-2</v>
      </c>
      <c r="DN12">
        <v>0</v>
      </c>
      <c r="DO12">
        <v>0</v>
      </c>
      <c r="DP12">
        <v>0.20799999999999999</v>
      </c>
      <c r="DQ12" s="2">
        <v>0</v>
      </c>
      <c r="DR12" s="2">
        <v>0</v>
      </c>
      <c r="DS12" s="2">
        <v>0.75202000000000002</v>
      </c>
      <c r="DT12">
        <v>2.5000000000000001E-2</v>
      </c>
      <c r="DU12">
        <v>5.8000000000000003E-2</v>
      </c>
      <c r="DV12">
        <v>0</v>
      </c>
      <c r="DW12">
        <v>0.02</v>
      </c>
      <c r="DX12">
        <v>0.99299999999999999</v>
      </c>
      <c r="DY12" s="2">
        <v>4.0000000000000003E-5</v>
      </c>
      <c r="DZ12" s="2">
        <v>2.0000000000000002E-5</v>
      </c>
    </row>
    <row r="13" spans="1:130" x14ac:dyDescent="0.3">
      <c r="A13" t="s">
        <v>165</v>
      </c>
      <c r="B13">
        <v>1998</v>
      </c>
      <c r="C13" t="s">
        <v>168</v>
      </c>
      <c r="D13" s="1">
        <v>81524384</v>
      </c>
      <c r="E13" s="1">
        <v>2535903723520</v>
      </c>
      <c r="F13" s="1">
        <v>2535903.72352</v>
      </c>
      <c r="G13" s="2">
        <v>0.11093</v>
      </c>
      <c r="H13">
        <v>0.10199999999999999</v>
      </c>
      <c r="I13">
        <v>12.586</v>
      </c>
      <c r="J13">
        <v>1.026</v>
      </c>
      <c r="K13">
        <v>38</v>
      </c>
      <c r="L13">
        <v>3.06</v>
      </c>
      <c r="M13" s="2">
        <v>5.5700000000000003E-3</v>
      </c>
      <c r="N13" s="2">
        <v>2.5999999999999998E-4</v>
      </c>
      <c r="O13">
        <v>587.00800000000004</v>
      </c>
      <c r="P13" s="2">
        <v>-2.3900000000000001E-2</v>
      </c>
      <c r="Q13">
        <v>-24.306000000000001</v>
      </c>
      <c r="R13">
        <v>12174.422</v>
      </c>
      <c r="S13">
        <v>992.51199999999994</v>
      </c>
      <c r="T13">
        <v>3584.94</v>
      </c>
      <c r="U13">
        <v>292.26</v>
      </c>
      <c r="V13" s="2">
        <v>-8.2680000000000003E-2</v>
      </c>
      <c r="W13">
        <v>-68.144000000000005</v>
      </c>
      <c r="X13">
        <v>9273.8829999999998</v>
      </c>
      <c r="Y13">
        <v>756.048</v>
      </c>
      <c r="Z13" s="2">
        <v>0.53210000000000002</v>
      </c>
      <c r="AA13" s="2">
        <v>0.24692</v>
      </c>
      <c r="AB13">
        <v>548.62</v>
      </c>
      <c r="AC13">
        <v>549.26</v>
      </c>
      <c r="AD13" s="2">
        <v>0.14968999999999999</v>
      </c>
      <c r="AE13" s="2">
        <v>-8.2799999999999992E-3</v>
      </c>
      <c r="AF13">
        <v>-33.555999999999997</v>
      </c>
      <c r="AG13">
        <v>49305.879000000001</v>
      </c>
      <c r="AH13">
        <v>1.585</v>
      </c>
      <c r="AI13" s="2">
        <v>-4.2599999999999999E-3</v>
      </c>
      <c r="AJ13">
        <v>-14.898999999999999</v>
      </c>
      <c r="AK13">
        <v>4449.4660000000003</v>
      </c>
      <c r="AL13">
        <v>362.74</v>
      </c>
      <c r="AM13">
        <v>42709.667999999998</v>
      </c>
      <c r="AN13">
        <v>3481.8789999999999</v>
      </c>
      <c r="AO13" s="2">
        <v>0.66042000000000001</v>
      </c>
      <c r="AP13" s="2">
        <v>0.86621999999999999</v>
      </c>
      <c r="AQ13" s="2">
        <v>9.1700000000000011E-3</v>
      </c>
      <c r="AR13">
        <v>7.617</v>
      </c>
      <c r="AS13">
        <v>838.65</v>
      </c>
      <c r="AT13">
        <v>622</v>
      </c>
      <c r="AU13">
        <v>50.74</v>
      </c>
      <c r="AV13">
        <v>10287.109</v>
      </c>
      <c r="AW13" s="2">
        <v>-2.2890000000000001E-2</v>
      </c>
      <c r="AX13">
        <v>-4.0970000000000004</v>
      </c>
      <c r="AY13">
        <v>2144.998</v>
      </c>
      <c r="AZ13">
        <v>174.87</v>
      </c>
      <c r="BA13" s="2">
        <v>9.237999999999999E-2</v>
      </c>
      <c r="BB13" s="2">
        <v>0.20864000000000002</v>
      </c>
      <c r="BC13">
        <v>322.42</v>
      </c>
      <c r="BD13" s="2">
        <v>2.64E-3</v>
      </c>
      <c r="BE13">
        <v>0.14799999999999999</v>
      </c>
      <c r="BF13">
        <v>56.189</v>
      </c>
      <c r="BG13">
        <v>211.22499999999999</v>
      </c>
      <c r="BH13">
        <v>17.22</v>
      </c>
      <c r="BI13">
        <v>689.226</v>
      </c>
      <c r="BJ13" s="2">
        <v>3.1349999999999996E-2</v>
      </c>
      <c r="BK13" s="2">
        <v>1.3979999999999999E-2</v>
      </c>
      <c r="BL13" s="2">
        <v>-3.39E-2</v>
      </c>
      <c r="BM13">
        <v>-18.655999999999999</v>
      </c>
      <c r="BN13">
        <v>537.75199999999995</v>
      </c>
      <c r="BO13">
        <v>2287.9050000000002</v>
      </c>
      <c r="BP13">
        <v>186.52</v>
      </c>
      <c r="BQ13">
        <v>6596.2079999999996</v>
      </c>
      <c r="BR13" s="2">
        <v>0.33957999999999999</v>
      </c>
      <c r="BS13" s="2">
        <v>0.13378000000000001</v>
      </c>
      <c r="BT13">
        <v>-0.64</v>
      </c>
      <c r="BU13" s="2">
        <v>-1.17E-3</v>
      </c>
      <c r="BV13" s="2">
        <v>-5.1239999999999994E-2</v>
      </c>
      <c r="BW13">
        <v>-24.765999999999998</v>
      </c>
      <c r="BX13">
        <v>458.54199999999997</v>
      </c>
      <c r="BY13">
        <v>1983</v>
      </c>
      <c r="BZ13">
        <v>162</v>
      </c>
      <c r="CA13">
        <v>5624.6040000000003</v>
      </c>
      <c r="CB13" s="2">
        <v>0.28999999999999998</v>
      </c>
      <c r="CC13" s="2">
        <v>0.11408</v>
      </c>
      <c r="CD13" s="2">
        <v>1.09E-3</v>
      </c>
      <c r="CE13">
        <v>1.79</v>
      </c>
      <c r="CF13">
        <v>1650.7170000000001</v>
      </c>
      <c r="CG13">
        <v>242.136</v>
      </c>
      <c r="CH13">
        <v>19.739999999999998</v>
      </c>
      <c r="CI13">
        <v>20248.138999999999</v>
      </c>
      <c r="CJ13" s="2">
        <v>5.357E-2</v>
      </c>
      <c r="CK13">
        <v>1.903</v>
      </c>
      <c r="CL13">
        <v>459.17399999999998</v>
      </c>
      <c r="CM13">
        <v>37.433999999999997</v>
      </c>
      <c r="CN13" s="2">
        <v>3.594E-2</v>
      </c>
      <c r="CO13" s="2">
        <v>0.41066000000000003</v>
      </c>
      <c r="CP13">
        <v>8.6760000000000002</v>
      </c>
      <c r="CQ13">
        <v>3.06</v>
      </c>
      <c r="CR13">
        <v>0</v>
      </c>
      <c r="CS13" s="2">
        <v>0.18328</v>
      </c>
      <c r="CT13">
        <v>1.3440000000000001</v>
      </c>
      <c r="CU13">
        <v>38</v>
      </c>
      <c r="CV13">
        <v>0</v>
      </c>
      <c r="CW13">
        <v>106.42700000000001</v>
      </c>
      <c r="CX13" s="2">
        <v>5.5700000000000003E-3</v>
      </c>
      <c r="CY13" s="2">
        <v>0</v>
      </c>
      <c r="CZ13" s="2">
        <v>2.16E-3</v>
      </c>
      <c r="DA13">
        <v>6737.3710000000001</v>
      </c>
      <c r="DB13">
        <v>4019.6309999999999</v>
      </c>
      <c r="DC13" s="2">
        <v>8.3519999999999997E-2</v>
      </c>
      <c r="DD13">
        <v>6.11</v>
      </c>
      <c r="DE13">
        <v>79.209000000000003</v>
      </c>
      <c r="DF13">
        <v>305.185</v>
      </c>
      <c r="DG13">
        <v>24.88</v>
      </c>
      <c r="DH13">
        <v>971.60400000000004</v>
      </c>
      <c r="DI13" s="2">
        <v>4.53E-2</v>
      </c>
      <c r="DJ13" s="2">
        <v>1.9710000000000002E-2</v>
      </c>
      <c r="DK13" s="2">
        <v>0.36363999999999996</v>
      </c>
      <c r="DL13">
        <v>1.2E-2</v>
      </c>
      <c r="DM13">
        <v>4.3999999999999997E-2</v>
      </c>
      <c r="DN13">
        <v>0.123</v>
      </c>
      <c r="DO13">
        <v>0.01</v>
      </c>
      <c r="DP13">
        <v>0.54400000000000004</v>
      </c>
      <c r="DQ13" s="2">
        <v>2.0000000000000002E-5</v>
      </c>
      <c r="DR13" s="2">
        <v>1.0000000000000001E-5</v>
      </c>
      <c r="DS13" s="2">
        <v>0.51349</v>
      </c>
      <c r="DT13">
        <v>4.5030000000000001</v>
      </c>
      <c r="DU13">
        <v>13.273999999999999</v>
      </c>
      <c r="DV13">
        <v>56</v>
      </c>
      <c r="DW13">
        <v>4.59</v>
      </c>
      <c r="DX13">
        <v>162.822</v>
      </c>
      <c r="DY13" s="2">
        <v>8.3599999999999994E-3</v>
      </c>
      <c r="DZ13" s="2">
        <v>3.3E-3</v>
      </c>
    </row>
    <row r="14" spans="1:130" x14ac:dyDescent="0.3">
      <c r="A14" t="s">
        <v>166</v>
      </c>
      <c r="B14">
        <v>1999</v>
      </c>
      <c r="C14" t="s">
        <v>167</v>
      </c>
      <c r="D14" s="1">
        <v>58352208</v>
      </c>
      <c r="E14" s="1">
        <v>1949849354240</v>
      </c>
      <c r="F14" s="1">
        <v>1949849.35424</v>
      </c>
      <c r="G14" s="2">
        <v>4.3479999999999998E-2</v>
      </c>
      <c r="H14">
        <v>0.127</v>
      </c>
      <c r="I14">
        <v>52.311999999999998</v>
      </c>
      <c r="J14">
        <v>3.0529999999999999</v>
      </c>
      <c r="K14">
        <v>40</v>
      </c>
      <c r="L14">
        <v>2.34</v>
      </c>
      <c r="M14" s="2">
        <v>4.5000000000000005E-3</v>
      </c>
      <c r="N14" s="2">
        <v>9.8999999999999999E-4</v>
      </c>
      <c r="O14">
        <v>87.366</v>
      </c>
      <c r="P14" s="2">
        <v>-0.10334</v>
      </c>
      <c r="Q14">
        <v>-20.344000000000001</v>
      </c>
      <c r="R14">
        <v>3025.0340000000001</v>
      </c>
      <c r="S14">
        <v>176.517</v>
      </c>
      <c r="T14">
        <v>501.78</v>
      </c>
      <c r="U14">
        <v>29.28</v>
      </c>
      <c r="V14" s="2">
        <v>-0.10567</v>
      </c>
      <c r="W14">
        <v>-4.3920000000000003</v>
      </c>
      <c r="X14">
        <v>637.06200000000001</v>
      </c>
      <c r="Y14">
        <v>37.173999999999999</v>
      </c>
      <c r="Z14" s="2">
        <v>5.636E-2</v>
      </c>
      <c r="AA14" s="2">
        <v>5.7350000000000005E-2</v>
      </c>
      <c r="AB14">
        <v>456.4</v>
      </c>
      <c r="AC14">
        <v>519.54</v>
      </c>
      <c r="AD14" s="2">
        <v>0.23576</v>
      </c>
      <c r="AE14" s="2">
        <v>1.3429999999999999E-2</v>
      </c>
      <c r="AF14">
        <v>40.793999999999997</v>
      </c>
      <c r="AG14">
        <v>52748.921999999999</v>
      </c>
      <c r="AH14">
        <v>1.579</v>
      </c>
      <c r="AI14" s="2">
        <v>-4.9300000000000004E-3</v>
      </c>
      <c r="AJ14">
        <v>-8.5850000000000009</v>
      </c>
      <c r="AK14">
        <v>884.11400000000003</v>
      </c>
      <c r="AL14">
        <v>51.59</v>
      </c>
      <c r="AM14">
        <v>29692.743999999999</v>
      </c>
      <c r="AN14">
        <v>1732.6369999999999</v>
      </c>
      <c r="AO14" s="2">
        <v>9.9299999999999999E-2</v>
      </c>
      <c r="AP14" s="2">
        <v>0.56291000000000002</v>
      </c>
      <c r="AQ14" s="2">
        <v>1.9599999999999999E-2</v>
      </c>
      <c r="AR14">
        <v>7.617</v>
      </c>
      <c r="AS14">
        <v>396.21100000000001</v>
      </c>
      <c r="AT14">
        <v>132</v>
      </c>
      <c r="AU14">
        <v>7.7</v>
      </c>
      <c r="AV14">
        <v>6790</v>
      </c>
      <c r="AW14" s="2">
        <v>-9.1609999999999997E-2</v>
      </c>
      <c r="AX14">
        <v>-2.177</v>
      </c>
      <c r="AY14">
        <v>369.88</v>
      </c>
      <c r="AZ14">
        <v>21.582999999999998</v>
      </c>
      <c r="BA14" s="2">
        <v>1.482E-2</v>
      </c>
      <c r="BB14" s="2">
        <v>0.12872</v>
      </c>
      <c r="BC14">
        <v>45.39</v>
      </c>
      <c r="BD14" s="2">
        <v>0.16783000000000001</v>
      </c>
      <c r="BE14">
        <v>30.815000000000001</v>
      </c>
      <c r="BF14">
        <v>214.423</v>
      </c>
      <c r="BG14">
        <v>1213.664</v>
      </c>
      <c r="BH14">
        <v>70.819999999999993</v>
      </c>
      <c r="BI14">
        <v>3674.636</v>
      </c>
      <c r="BJ14" s="2">
        <v>0.13631000000000001</v>
      </c>
      <c r="BK14" s="2">
        <v>6.966E-2</v>
      </c>
      <c r="BL14" s="2">
        <v>3.7350000000000001E-2</v>
      </c>
      <c r="BM14">
        <v>49.378999999999998</v>
      </c>
      <c r="BN14">
        <v>1345.3789999999999</v>
      </c>
      <c r="BO14">
        <v>8019.4049999999997</v>
      </c>
      <c r="BP14">
        <v>467.95</v>
      </c>
      <c r="BQ14">
        <v>23056.178</v>
      </c>
      <c r="BR14" s="2">
        <v>0.90069999999999995</v>
      </c>
      <c r="BS14" s="2">
        <v>0.43709000000000003</v>
      </c>
      <c r="BT14">
        <v>-63.14</v>
      </c>
      <c r="BU14" s="2">
        <v>-0.13833999999999999</v>
      </c>
      <c r="BV14" s="2">
        <v>1.6120000000000002E-2</v>
      </c>
      <c r="BW14">
        <v>17.745999999999999</v>
      </c>
      <c r="BX14">
        <v>1118.673</v>
      </c>
      <c r="BY14">
        <v>6756</v>
      </c>
      <c r="BZ14">
        <v>394</v>
      </c>
      <c r="CA14">
        <v>19171.053</v>
      </c>
      <c r="CB14" s="2">
        <v>0.76</v>
      </c>
      <c r="CC14" s="2">
        <v>0.36343999999999999</v>
      </c>
      <c r="CD14" s="2">
        <v>3.5799999999999998E-3</v>
      </c>
      <c r="CE14">
        <v>4.1420000000000003</v>
      </c>
      <c r="CF14">
        <v>1159.9079999999999</v>
      </c>
      <c r="CG14">
        <v>250.376</v>
      </c>
      <c r="CH14">
        <v>14.61</v>
      </c>
      <c r="CI14">
        <v>19877.710999999999</v>
      </c>
      <c r="CJ14" s="2">
        <v>-7.2889999999999996E-2</v>
      </c>
      <c r="CK14">
        <v>-1.7649999999999999</v>
      </c>
      <c r="CL14">
        <v>384.64600000000002</v>
      </c>
      <c r="CM14">
        <v>22.445</v>
      </c>
      <c r="CN14" s="2">
        <v>2.8119999999999999E-2</v>
      </c>
      <c r="CO14" s="2">
        <v>0.37683999999999995</v>
      </c>
      <c r="CP14">
        <v>9.1069999999999993</v>
      </c>
      <c r="CQ14">
        <v>2.85</v>
      </c>
      <c r="CR14">
        <v>0.51</v>
      </c>
      <c r="CS14" s="2">
        <v>7.5389999999999999E-2</v>
      </c>
      <c r="CT14">
        <v>0.63800000000000001</v>
      </c>
      <c r="CU14">
        <v>49</v>
      </c>
      <c r="CV14">
        <v>9</v>
      </c>
      <c r="CW14">
        <v>156.07599999999999</v>
      </c>
      <c r="CX14" s="2">
        <v>5.4900000000000001E-3</v>
      </c>
      <c r="CY14" s="2">
        <v>9.7999999999999997E-4</v>
      </c>
      <c r="CZ14" s="2">
        <v>2.96E-3</v>
      </c>
      <c r="DA14">
        <v>8903.5190000000002</v>
      </c>
      <c r="DB14">
        <v>3078.0160000000001</v>
      </c>
      <c r="DC14" s="2">
        <v>0.15903999999999999</v>
      </c>
      <c r="DD14">
        <v>31.632999999999999</v>
      </c>
      <c r="DE14">
        <v>226.70599999999999</v>
      </c>
      <c r="DF14">
        <v>1263.191</v>
      </c>
      <c r="DG14">
        <v>73.709999999999994</v>
      </c>
      <c r="DH14">
        <v>3885.1260000000002</v>
      </c>
      <c r="DI14" s="2">
        <v>0.14188000000000001</v>
      </c>
      <c r="DJ14" s="2">
        <v>7.3650000000000007E-2</v>
      </c>
      <c r="DK14" s="2">
        <v>0.11227000000000001</v>
      </c>
      <c r="DL14">
        <v>1E-3</v>
      </c>
      <c r="DM14">
        <v>1.2999999999999999E-2</v>
      </c>
      <c r="DN14">
        <v>0</v>
      </c>
      <c r="DO14">
        <v>0</v>
      </c>
      <c r="DP14">
        <v>0.23</v>
      </c>
      <c r="DQ14" s="2">
        <v>0</v>
      </c>
      <c r="DR14" s="2">
        <v>0</v>
      </c>
      <c r="DS14" s="2">
        <v>0.89485999999999999</v>
      </c>
      <c r="DT14">
        <v>5.1999999999999998E-2</v>
      </c>
      <c r="DU14">
        <v>0.109</v>
      </c>
      <c r="DV14">
        <v>1</v>
      </c>
      <c r="DW14">
        <v>0.04</v>
      </c>
      <c r="DX14">
        <v>1.8720000000000001</v>
      </c>
      <c r="DY14" s="2">
        <v>8.0000000000000007E-5</v>
      </c>
      <c r="DZ14" s="2">
        <v>4.0000000000000003E-5</v>
      </c>
    </row>
    <row r="15" spans="1:130" x14ac:dyDescent="0.3">
      <c r="A15" t="s">
        <v>165</v>
      </c>
      <c r="B15">
        <v>1999</v>
      </c>
      <c r="C15" t="s">
        <v>168</v>
      </c>
      <c r="D15" s="1">
        <v>81556968</v>
      </c>
      <c r="E15" s="1">
        <v>2613176696832</v>
      </c>
      <c r="F15" s="1">
        <v>2613176.6968319998</v>
      </c>
      <c r="G15" s="2">
        <v>0.30201</v>
      </c>
      <c r="H15">
        <v>0.31</v>
      </c>
      <c r="I15">
        <v>16.38</v>
      </c>
      <c r="J15">
        <v>1.3360000000000001</v>
      </c>
      <c r="K15">
        <v>43</v>
      </c>
      <c r="L15">
        <v>3.51</v>
      </c>
      <c r="M15" s="2">
        <v>6.3899999999999998E-3</v>
      </c>
      <c r="N15" s="2">
        <v>3.4000000000000002E-4</v>
      </c>
      <c r="O15">
        <v>566.38800000000003</v>
      </c>
      <c r="P15" s="2">
        <v>-3.721E-2</v>
      </c>
      <c r="Q15">
        <v>-36.930999999999997</v>
      </c>
      <c r="R15">
        <v>11716.737999999999</v>
      </c>
      <c r="S15">
        <v>955.58199999999999</v>
      </c>
      <c r="T15">
        <v>3448.7550000000001</v>
      </c>
      <c r="U15">
        <v>281.27</v>
      </c>
      <c r="V15" s="2">
        <v>-2.6589999999999999E-2</v>
      </c>
      <c r="W15">
        <v>-20.102</v>
      </c>
      <c r="X15">
        <v>9023.6980000000003</v>
      </c>
      <c r="Y15">
        <v>735.94500000000005</v>
      </c>
      <c r="Z15" s="2">
        <v>0.51207999999999998</v>
      </c>
      <c r="AA15" s="2">
        <v>0.24109000000000003</v>
      </c>
      <c r="AB15">
        <v>550.30999999999995</v>
      </c>
      <c r="AC15">
        <v>549.27</v>
      </c>
      <c r="AD15" s="2">
        <v>0.15288000000000002</v>
      </c>
      <c r="AE15" s="2">
        <v>-1.3950000000000001E-2</v>
      </c>
      <c r="AF15">
        <v>-56.070999999999998</v>
      </c>
      <c r="AG15">
        <v>48598.667999999998</v>
      </c>
      <c r="AH15">
        <v>1.5169999999999999</v>
      </c>
      <c r="AI15" s="2">
        <v>-2.5559999999999999E-2</v>
      </c>
      <c r="AJ15">
        <v>-89</v>
      </c>
      <c r="AK15">
        <v>4298.3450000000003</v>
      </c>
      <c r="AL15">
        <v>350.56</v>
      </c>
      <c r="AM15">
        <v>41601.347999999998</v>
      </c>
      <c r="AN15">
        <v>3392.88</v>
      </c>
      <c r="AO15" s="2">
        <v>0.63822999999999996</v>
      </c>
      <c r="AP15" s="2">
        <v>0.85602</v>
      </c>
      <c r="AQ15" s="2">
        <v>-2.9299999999999999E-3</v>
      </c>
      <c r="AR15">
        <v>-2.4590000000000001</v>
      </c>
      <c r="AS15">
        <v>836.19100000000003</v>
      </c>
      <c r="AT15">
        <v>635</v>
      </c>
      <c r="AU15">
        <v>51.8</v>
      </c>
      <c r="AV15">
        <v>10252.843000000001</v>
      </c>
      <c r="AW15" s="2">
        <v>6.8129999999999996E-2</v>
      </c>
      <c r="AX15">
        <v>11.914</v>
      </c>
      <c r="AY15">
        <v>2290.2179999999998</v>
      </c>
      <c r="AZ15">
        <v>186.78299999999999</v>
      </c>
      <c r="BA15" s="2">
        <v>9.4309999999999991E-2</v>
      </c>
      <c r="BB15" s="2">
        <v>0.21097000000000002</v>
      </c>
      <c r="BC15">
        <v>311.10000000000002</v>
      </c>
      <c r="BD15" s="2">
        <v>8.8620000000000004E-2</v>
      </c>
      <c r="BE15">
        <v>4.9800000000000004</v>
      </c>
      <c r="BF15">
        <v>61.167999999999999</v>
      </c>
      <c r="BG15">
        <v>240.93600000000001</v>
      </c>
      <c r="BH15">
        <v>19.649999999999999</v>
      </c>
      <c r="BI15">
        <v>750.00699999999995</v>
      </c>
      <c r="BJ15" s="2">
        <v>3.5769999999999996E-2</v>
      </c>
      <c r="BK15" s="2">
        <v>1.5429999999999999E-2</v>
      </c>
      <c r="BL15" s="2">
        <v>6.1760000000000002E-2</v>
      </c>
      <c r="BM15">
        <v>32.929000000000002</v>
      </c>
      <c r="BN15">
        <v>570.68100000000004</v>
      </c>
      <c r="BO15">
        <v>2436.4569999999999</v>
      </c>
      <c r="BP15">
        <v>198.71</v>
      </c>
      <c r="BQ15">
        <v>6997.3249999999998</v>
      </c>
      <c r="BR15" s="2">
        <v>0.36176999999999998</v>
      </c>
      <c r="BS15" s="2">
        <v>0.14398</v>
      </c>
      <c r="BT15">
        <v>1.04</v>
      </c>
      <c r="BU15" s="2">
        <v>1.89E-3</v>
      </c>
      <c r="BV15" s="2">
        <v>5.2000000000000005E-2</v>
      </c>
      <c r="BW15">
        <v>23.846</v>
      </c>
      <c r="BX15">
        <v>482.38900000000001</v>
      </c>
      <c r="BY15">
        <v>2084</v>
      </c>
      <c r="BZ15">
        <v>170</v>
      </c>
      <c r="CA15">
        <v>5914.7479999999996</v>
      </c>
      <c r="CB15" s="2">
        <v>0.31</v>
      </c>
      <c r="CC15" s="2">
        <v>0.12171</v>
      </c>
      <c r="CD15" s="2">
        <v>-3.005E-2</v>
      </c>
      <c r="CE15">
        <v>-49.61</v>
      </c>
      <c r="CF15">
        <v>1601.107</v>
      </c>
      <c r="CG15">
        <v>214.45099999999999</v>
      </c>
      <c r="CH15">
        <v>17.489999999999998</v>
      </c>
      <c r="CI15">
        <v>19631.763999999999</v>
      </c>
      <c r="CJ15" s="2">
        <v>-6.7799999999999999E-2</v>
      </c>
      <c r="CK15">
        <v>-2.5379999999999998</v>
      </c>
      <c r="CL15">
        <v>427.87200000000001</v>
      </c>
      <c r="CM15">
        <v>34.896000000000001</v>
      </c>
      <c r="CN15" s="2">
        <v>3.184E-2</v>
      </c>
      <c r="CO15" s="2">
        <v>0.40395999999999999</v>
      </c>
      <c r="CP15">
        <v>9.3849999999999998</v>
      </c>
      <c r="CQ15">
        <v>3.51</v>
      </c>
      <c r="CR15">
        <v>0</v>
      </c>
      <c r="CS15" s="2">
        <v>8.1679999999999989E-2</v>
      </c>
      <c r="CT15">
        <v>0.70899999999999996</v>
      </c>
      <c r="CU15">
        <v>43</v>
      </c>
      <c r="CV15">
        <v>0</v>
      </c>
      <c r="CW15">
        <v>115.074</v>
      </c>
      <c r="CX15" s="2">
        <v>6.3899999999999998E-3</v>
      </c>
      <c r="CY15" s="2">
        <v>0</v>
      </c>
      <c r="CZ15" s="2">
        <v>2.3699999999999997E-3</v>
      </c>
      <c r="DA15">
        <v>6734.8019999999997</v>
      </c>
      <c r="DB15">
        <v>3963.56</v>
      </c>
      <c r="DC15" s="2">
        <v>0.11959</v>
      </c>
      <c r="DD15">
        <v>9.0820000000000007</v>
      </c>
      <c r="DE15">
        <v>88.292000000000002</v>
      </c>
      <c r="DF15">
        <v>352.024</v>
      </c>
      <c r="DG15">
        <v>28.71</v>
      </c>
      <c r="DH15">
        <v>1082.577</v>
      </c>
      <c r="DI15" s="2">
        <v>5.2270000000000004E-2</v>
      </c>
      <c r="DJ15" s="2">
        <v>2.2280000000000001E-2</v>
      </c>
      <c r="DK15" s="2">
        <v>0.26667000000000002</v>
      </c>
      <c r="DL15">
        <v>1.2E-2</v>
      </c>
      <c r="DM15">
        <v>5.6000000000000001E-2</v>
      </c>
      <c r="DN15">
        <v>0.245</v>
      </c>
      <c r="DO15">
        <v>0.02</v>
      </c>
      <c r="DP15">
        <v>0.68899999999999995</v>
      </c>
      <c r="DQ15" s="2">
        <v>4.0000000000000003E-5</v>
      </c>
      <c r="DR15" s="2">
        <v>1.0000000000000001E-5</v>
      </c>
      <c r="DS15" s="2">
        <v>0.23144999999999999</v>
      </c>
      <c r="DT15">
        <v>3.0720000000000001</v>
      </c>
      <c r="DU15">
        <v>16.346</v>
      </c>
      <c r="DV15">
        <v>68</v>
      </c>
      <c r="DW15">
        <v>5.53</v>
      </c>
      <c r="DX15">
        <v>200.42699999999999</v>
      </c>
      <c r="DY15" s="2">
        <v>1.0069999999999999E-2</v>
      </c>
      <c r="DZ15" s="2">
        <v>4.1199999999999995E-3</v>
      </c>
    </row>
    <row r="16" spans="1:130" x14ac:dyDescent="0.3">
      <c r="A16" t="s">
        <v>166</v>
      </c>
      <c r="B16">
        <v>2000</v>
      </c>
      <c r="C16" t="s">
        <v>167</v>
      </c>
      <c r="D16" s="1">
        <v>58665456</v>
      </c>
      <c r="E16" s="1">
        <v>2031676030976</v>
      </c>
      <c r="F16" s="1">
        <v>2031676.030976</v>
      </c>
      <c r="G16" s="2">
        <v>0.19585</v>
      </c>
      <c r="H16">
        <v>0.59799999999999998</v>
      </c>
      <c r="I16">
        <v>62.222999999999999</v>
      </c>
      <c r="J16">
        <v>3.65</v>
      </c>
      <c r="K16">
        <v>42</v>
      </c>
      <c r="L16">
        <v>2.48</v>
      </c>
      <c r="M16" s="2">
        <v>4.6600000000000001E-3</v>
      </c>
      <c r="N16" s="2">
        <v>1.17E-3</v>
      </c>
      <c r="O16">
        <v>79.766000000000005</v>
      </c>
      <c r="P16" s="2">
        <v>-3.0350000000000002E-2</v>
      </c>
      <c r="Q16">
        <v>-5.3570000000000002</v>
      </c>
      <c r="R16">
        <v>2917.5729999999999</v>
      </c>
      <c r="S16">
        <v>171.161</v>
      </c>
      <c r="T16">
        <v>460.23700000000002</v>
      </c>
      <c r="U16">
        <v>27</v>
      </c>
      <c r="V16" s="2">
        <v>-0.31412000000000001</v>
      </c>
      <c r="W16">
        <v>-11.677</v>
      </c>
      <c r="X16">
        <v>434.61500000000001</v>
      </c>
      <c r="Y16">
        <v>25.497</v>
      </c>
      <c r="Z16" s="2">
        <v>5.0700000000000002E-2</v>
      </c>
      <c r="AA16" s="2">
        <v>5.4900000000000004E-2</v>
      </c>
      <c r="AB16">
        <v>463.08</v>
      </c>
      <c r="AC16">
        <v>532.55999999999995</v>
      </c>
      <c r="AD16" s="2">
        <v>0.24021999999999999</v>
      </c>
      <c r="AE16" s="2">
        <v>1.2960000000000001E-2</v>
      </c>
      <c r="AF16">
        <v>39.893000000000001</v>
      </c>
      <c r="AG16">
        <v>53147.277000000002</v>
      </c>
      <c r="AH16">
        <v>1.5349999999999999</v>
      </c>
      <c r="AI16" s="2">
        <v>-1.3500000000000001E-3</v>
      </c>
      <c r="AJ16">
        <v>-2.331</v>
      </c>
      <c r="AK16">
        <v>844.96100000000001</v>
      </c>
      <c r="AL16">
        <v>49.57</v>
      </c>
      <c r="AM16">
        <v>29494.467000000001</v>
      </c>
      <c r="AN16">
        <v>1730.306</v>
      </c>
      <c r="AO16" s="2">
        <v>9.3079999999999996E-2</v>
      </c>
      <c r="AP16" s="2">
        <v>0.55496000000000001</v>
      </c>
      <c r="AQ16" s="2">
        <v>4.9850000000000005E-2</v>
      </c>
      <c r="AR16">
        <v>19.751999999999999</v>
      </c>
      <c r="AS16">
        <v>415.964</v>
      </c>
      <c r="AT16">
        <v>196</v>
      </c>
      <c r="AU16">
        <v>11.51</v>
      </c>
      <c r="AV16">
        <v>7090.433</v>
      </c>
      <c r="AW16" s="2">
        <v>-9.8650000000000002E-2</v>
      </c>
      <c r="AX16">
        <v>-2.129</v>
      </c>
      <c r="AY16">
        <v>331.61200000000002</v>
      </c>
      <c r="AZ16">
        <v>19.454000000000001</v>
      </c>
      <c r="BA16" s="2">
        <v>2.1610000000000001E-2</v>
      </c>
      <c r="BB16" s="2">
        <v>0.13341</v>
      </c>
      <c r="BC16">
        <v>42.48</v>
      </c>
      <c r="BD16" s="2">
        <v>-8.4830000000000003E-2</v>
      </c>
      <c r="BE16">
        <v>-18.187999999999999</v>
      </c>
      <c r="BF16">
        <v>196.23500000000001</v>
      </c>
      <c r="BG16">
        <v>1104.2270000000001</v>
      </c>
      <c r="BH16">
        <v>64.78</v>
      </c>
      <c r="BI16">
        <v>3344.9780000000001</v>
      </c>
      <c r="BJ16" s="2">
        <v>0.12164</v>
      </c>
      <c r="BK16" s="2">
        <v>6.2939999999999996E-2</v>
      </c>
      <c r="BL16" s="2">
        <v>3.2809999999999999E-2</v>
      </c>
      <c r="BM16">
        <v>42.223999999999997</v>
      </c>
      <c r="BN16">
        <v>1387.6030000000001</v>
      </c>
      <c r="BO16">
        <v>8232.9539999999997</v>
      </c>
      <c r="BP16">
        <v>482.99</v>
      </c>
      <c r="BQ16">
        <v>23652.807000000001</v>
      </c>
      <c r="BR16" s="2">
        <v>0.90691999999999995</v>
      </c>
      <c r="BS16" s="2">
        <v>0.44503999999999999</v>
      </c>
      <c r="BT16">
        <v>-69.48</v>
      </c>
      <c r="BU16" s="2">
        <v>-0.15004000000000001</v>
      </c>
      <c r="BV16" s="2">
        <v>5.3060000000000003E-2</v>
      </c>
      <c r="BW16">
        <v>59.354999999999997</v>
      </c>
      <c r="BX16">
        <v>1178.028</v>
      </c>
      <c r="BY16">
        <v>7077</v>
      </c>
      <c r="BZ16">
        <v>415</v>
      </c>
      <c r="CA16">
        <v>20080.442999999999</v>
      </c>
      <c r="CB16" s="2">
        <v>0.78</v>
      </c>
      <c r="CC16" s="2">
        <v>0.37783</v>
      </c>
      <c r="CD16" s="2">
        <v>-1.4419999999999999E-2</v>
      </c>
      <c r="CE16">
        <v>-16.725999999999999</v>
      </c>
      <c r="CF16">
        <v>1143.182</v>
      </c>
      <c r="CG16">
        <v>188.52699999999999</v>
      </c>
      <c r="CH16">
        <v>11.06</v>
      </c>
      <c r="CI16">
        <v>19486.460999999999</v>
      </c>
      <c r="CJ16" s="2">
        <v>-3.9070000000000001E-2</v>
      </c>
      <c r="CK16">
        <v>-0.877</v>
      </c>
      <c r="CL16">
        <v>367.64400000000001</v>
      </c>
      <c r="CM16">
        <v>21.568000000000001</v>
      </c>
      <c r="CN16" s="2">
        <v>2.077E-2</v>
      </c>
      <c r="CO16" s="2">
        <v>0.36664999999999998</v>
      </c>
      <c r="CP16">
        <v>9.532</v>
      </c>
      <c r="CQ16">
        <v>2.99</v>
      </c>
      <c r="CR16">
        <v>0.51</v>
      </c>
      <c r="CS16" s="2">
        <v>4.6620000000000002E-2</v>
      </c>
      <c r="CT16">
        <v>0.42499999999999999</v>
      </c>
      <c r="CU16">
        <v>51</v>
      </c>
      <c r="CV16">
        <v>9</v>
      </c>
      <c r="CW16">
        <v>162.47900000000001</v>
      </c>
      <c r="CX16" s="2">
        <v>5.6100000000000004E-3</v>
      </c>
      <c r="CY16" s="2">
        <v>9.6000000000000002E-4</v>
      </c>
      <c r="CZ16" s="2">
        <v>3.0599999999999998E-3</v>
      </c>
      <c r="DA16">
        <v>9077.9140000000007</v>
      </c>
      <c r="DB16">
        <v>3117.9090000000001</v>
      </c>
      <c r="DC16" s="2">
        <v>-6.8929999999999991E-2</v>
      </c>
      <c r="DD16">
        <v>-17.131</v>
      </c>
      <c r="DE16">
        <v>209.57400000000001</v>
      </c>
      <c r="DF16">
        <v>1156.2170000000001</v>
      </c>
      <c r="DG16">
        <v>67.83</v>
      </c>
      <c r="DH16">
        <v>3572.364</v>
      </c>
      <c r="DI16" s="2">
        <v>0.12737000000000001</v>
      </c>
      <c r="DJ16" s="2">
        <v>6.7220000000000002E-2</v>
      </c>
      <c r="DK16" s="2">
        <v>0.14859999999999998</v>
      </c>
      <c r="DL16">
        <v>2E-3</v>
      </c>
      <c r="DM16">
        <v>1.4999999999999999E-2</v>
      </c>
      <c r="DN16">
        <v>0.17</v>
      </c>
      <c r="DO16">
        <v>0.01</v>
      </c>
      <c r="DP16">
        <v>0.26300000000000001</v>
      </c>
      <c r="DQ16" s="2">
        <v>2.0000000000000002E-5</v>
      </c>
      <c r="DR16" s="2">
        <v>0</v>
      </c>
      <c r="DS16" s="2">
        <v>0.29925000000000002</v>
      </c>
      <c r="DT16">
        <v>3.3000000000000002E-2</v>
      </c>
      <c r="DU16">
        <v>0.14199999999999999</v>
      </c>
      <c r="DV16">
        <v>1</v>
      </c>
      <c r="DW16">
        <v>0.05</v>
      </c>
      <c r="DX16">
        <v>2.419</v>
      </c>
      <c r="DY16" s="2">
        <v>8.9999999999999992E-5</v>
      </c>
      <c r="DZ16" s="2">
        <v>5.0000000000000002E-5</v>
      </c>
    </row>
    <row r="17" spans="1:130" x14ac:dyDescent="0.3">
      <c r="A17" t="s">
        <v>165</v>
      </c>
      <c r="B17">
        <v>2000</v>
      </c>
      <c r="C17" t="s">
        <v>168</v>
      </c>
      <c r="D17" s="1">
        <v>81551680</v>
      </c>
      <c r="E17" s="1">
        <v>2718560681984</v>
      </c>
      <c r="F17" s="1">
        <v>2718560.6819839999</v>
      </c>
      <c r="G17" s="2">
        <v>0.92319999999999991</v>
      </c>
      <c r="H17">
        <v>1.2330000000000001</v>
      </c>
      <c r="I17">
        <v>31.504999999999999</v>
      </c>
      <c r="J17">
        <v>2.569</v>
      </c>
      <c r="K17">
        <v>53</v>
      </c>
      <c r="L17">
        <v>4.33</v>
      </c>
      <c r="M17" s="2">
        <v>7.6100000000000004E-3</v>
      </c>
      <c r="N17" s="2">
        <v>6.4000000000000005E-4</v>
      </c>
      <c r="O17">
        <v>573.12599999999998</v>
      </c>
      <c r="P17" s="2">
        <v>3.8210000000000001E-2</v>
      </c>
      <c r="Q17">
        <v>36.514000000000003</v>
      </c>
      <c r="R17">
        <v>12165.24</v>
      </c>
      <c r="S17">
        <v>992.096</v>
      </c>
      <c r="T17">
        <v>3637.9380000000001</v>
      </c>
      <c r="U17">
        <v>296.68</v>
      </c>
      <c r="V17" s="2">
        <v>-4.0570000000000002E-2</v>
      </c>
      <c r="W17">
        <v>-29.859000000000002</v>
      </c>
      <c r="X17">
        <v>8658.1489999999994</v>
      </c>
      <c r="Y17">
        <v>706.08699999999999</v>
      </c>
      <c r="Z17" s="2">
        <v>0.52145000000000008</v>
      </c>
      <c r="AA17" s="2">
        <v>0.24876000000000001</v>
      </c>
      <c r="AB17">
        <v>572.01</v>
      </c>
      <c r="AC17">
        <v>568.95000000000005</v>
      </c>
      <c r="AD17" s="2">
        <v>0.15807000000000002</v>
      </c>
      <c r="AE17" s="2">
        <v>6.2100000000000002E-3</v>
      </c>
      <c r="AF17">
        <v>24.619</v>
      </c>
      <c r="AG17">
        <v>48903.699000000001</v>
      </c>
      <c r="AH17">
        <v>1.4670000000000001</v>
      </c>
      <c r="AI17" s="2">
        <v>-3.3E-4</v>
      </c>
      <c r="AJ17">
        <v>-1.1040000000000001</v>
      </c>
      <c r="AK17">
        <v>4462.5690000000004</v>
      </c>
      <c r="AL17">
        <v>363.93</v>
      </c>
      <c r="AM17">
        <v>41590.516000000003</v>
      </c>
      <c r="AN17">
        <v>3391.7759999999998</v>
      </c>
      <c r="AO17" s="2">
        <v>0.63965000000000005</v>
      </c>
      <c r="AP17" s="2">
        <v>0.8504600000000001</v>
      </c>
      <c r="AQ17" s="2">
        <v>-8.3099999999999997E-3</v>
      </c>
      <c r="AR17">
        <v>-6.9450000000000003</v>
      </c>
      <c r="AS17">
        <v>829.24599999999998</v>
      </c>
      <c r="AT17">
        <v>603</v>
      </c>
      <c r="AU17">
        <v>49.2</v>
      </c>
      <c r="AV17">
        <v>10168.348</v>
      </c>
      <c r="AW17" s="2">
        <v>-5.423E-2</v>
      </c>
      <c r="AX17">
        <v>-10.129</v>
      </c>
      <c r="AY17">
        <v>2166.1660000000002</v>
      </c>
      <c r="AZ17">
        <v>176.654</v>
      </c>
      <c r="BA17" s="2">
        <v>8.6480000000000001E-2</v>
      </c>
      <c r="BB17" s="2">
        <v>0.20793</v>
      </c>
      <c r="BC17">
        <v>326.08</v>
      </c>
      <c r="BD17" s="2">
        <v>0.20370999999999997</v>
      </c>
      <c r="BE17">
        <v>12.461</v>
      </c>
      <c r="BF17">
        <v>73.629000000000005</v>
      </c>
      <c r="BG17">
        <v>266.45699999999999</v>
      </c>
      <c r="BH17">
        <v>21.73</v>
      </c>
      <c r="BI17">
        <v>902.851</v>
      </c>
      <c r="BJ17" s="2">
        <v>3.8190000000000002E-2</v>
      </c>
      <c r="BK17" s="2">
        <v>1.8460000000000001E-2</v>
      </c>
      <c r="BL17" s="2">
        <v>4.7190000000000003E-2</v>
      </c>
      <c r="BM17">
        <v>25.722000000000001</v>
      </c>
      <c r="BN17">
        <v>596.40300000000002</v>
      </c>
      <c r="BO17">
        <v>2513.989</v>
      </c>
      <c r="BP17">
        <v>205.02</v>
      </c>
      <c r="BQ17">
        <v>7313.1880000000001</v>
      </c>
      <c r="BR17" s="2">
        <v>0.36034999999999995</v>
      </c>
      <c r="BS17" s="2">
        <v>0.14954000000000001</v>
      </c>
      <c r="BT17">
        <v>3.06</v>
      </c>
      <c r="BU17" s="2">
        <v>5.3500000000000006E-3</v>
      </c>
      <c r="BV17" s="2">
        <v>-2.3400000000000001E-3</v>
      </c>
      <c r="BW17">
        <v>-1.129</v>
      </c>
      <c r="BX17">
        <v>481.26</v>
      </c>
      <c r="BY17">
        <v>2080</v>
      </c>
      <c r="BZ17">
        <v>170</v>
      </c>
      <c r="CA17">
        <v>5901.2830000000004</v>
      </c>
      <c r="CB17" s="2">
        <v>0.3</v>
      </c>
      <c r="CC17" s="2">
        <v>0.12067</v>
      </c>
      <c r="CD17" s="2">
        <v>-1.916E-2</v>
      </c>
      <c r="CE17">
        <v>-30.672000000000001</v>
      </c>
      <c r="CF17">
        <v>1570.4349999999999</v>
      </c>
      <c r="CG17">
        <v>221.33199999999999</v>
      </c>
      <c r="CH17">
        <v>18.05</v>
      </c>
      <c r="CI17">
        <v>19256.928</v>
      </c>
      <c r="CJ17" s="2">
        <v>0.16350000000000001</v>
      </c>
      <c r="CK17">
        <v>5.7060000000000004</v>
      </c>
      <c r="CL17">
        <v>497.863</v>
      </c>
      <c r="CM17">
        <v>40.601999999999997</v>
      </c>
      <c r="CN17" s="2">
        <v>3.1730000000000001E-2</v>
      </c>
      <c r="CO17" s="2">
        <v>0.39377000000000001</v>
      </c>
      <c r="CP17">
        <v>10.853</v>
      </c>
      <c r="CQ17">
        <v>4.33</v>
      </c>
      <c r="CR17">
        <v>0</v>
      </c>
      <c r="CS17" s="2">
        <v>0.15646000000000002</v>
      </c>
      <c r="CT17">
        <v>1.468</v>
      </c>
      <c r="CU17">
        <v>53</v>
      </c>
      <c r="CV17">
        <v>0</v>
      </c>
      <c r="CW17">
        <v>133.08699999999999</v>
      </c>
      <c r="CX17" s="2">
        <v>7.6100000000000004E-3</v>
      </c>
      <c r="CY17" s="2">
        <v>0</v>
      </c>
      <c r="CZ17" s="2">
        <v>2.7200000000000002E-3</v>
      </c>
      <c r="DA17">
        <v>6976.558</v>
      </c>
      <c r="DB17">
        <v>3988.1790000000001</v>
      </c>
      <c r="DC17" s="2">
        <v>0.32319999999999999</v>
      </c>
      <c r="DD17">
        <v>26.850999999999999</v>
      </c>
      <c r="DE17">
        <v>115.143</v>
      </c>
      <c r="DF17">
        <v>434.20299999999997</v>
      </c>
      <c r="DG17">
        <v>35.409999999999997</v>
      </c>
      <c r="DH17">
        <v>1411.904</v>
      </c>
      <c r="DI17" s="2">
        <v>6.2240000000000004E-2</v>
      </c>
      <c r="DJ17" s="2">
        <v>2.887E-2</v>
      </c>
      <c r="DK17" s="2">
        <v>-1</v>
      </c>
      <c r="DL17">
        <v>-5.6000000000000001E-2</v>
      </c>
      <c r="DM17">
        <v>0</v>
      </c>
      <c r="DN17">
        <v>0</v>
      </c>
      <c r="DO17">
        <v>0</v>
      </c>
      <c r="DP17">
        <v>0</v>
      </c>
      <c r="DQ17" s="2">
        <v>0</v>
      </c>
      <c r="DR17" s="2">
        <v>0</v>
      </c>
      <c r="DS17" s="2">
        <v>0.71852000000000005</v>
      </c>
      <c r="DT17">
        <v>11.744999999999999</v>
      </c>
      <c r="DU17">
        <v>28.091000000000001</v>
      </c>
      <c r="DV17">
        <v>115</v>
      </c>
      <c r="DW17">
        <v>9.35</v>
      </c>
      <c r="DX17">
        <v>344.46100000000001</v>
      </c>
      <c r="DY17" s="2">
        <v>1.643E-2</v>
      </c>
      <c r="DZ17" s="2">
        <v>7.0399999999999994E-3</v>
      </c>
    </row>
    <row r="18" spans="1:130" x14ac:dyDescent="0.3">
      <c r="A18" t="s">
        <v>166</v>
      </c>
      <c r="B18">
        <v>2001</v>
      </c>
      <c r="C18" t="s">
        <v>167</v>
      </c>
      <c r="D18" s="1">
        <v>59014776</v>
      </c>
      <c r="E18" s="1">
        <v>2077786767360</v>
      </c>
      <c r="F18" s="1">
        <v>2077786.7673599999</v>
      </c>
      <c r="G18" s="2">
        <v>1.3729999999999999E-2</v>
      </c>
      <c r="H18">
        <v>0.05</v>
      </c>
      <c r="I18">
        <v>62.704999999999998</v>
      </c>
      <c r="J18">
        <v>3.7</v>
      </c>
      <c r="K18">
        <v>48</v>
      </c>
      <c r="L18">
        <v>2.85</v>
      </c>
      <c r="M18" s="2">
        <v>5.2500000000000003E-3</v>
      </c>
      <c r="N18" s="2">
        <v>1.1799999999999998E-3</v>
      </c>
      <c r="O18">
        <v>68.632999999999996</v>
      </c>
      <c r="P18" s="2">
        <v>-0.15848000000000001</v>
      </c>
      <c r="Q18">
        <v>-27.125</v>
      </c>
      <c r="R18">
        <v>2440.672</v>
      </c>
      <c r="S18">
        <v>144.036</v>
      </c>
      <c r="T18">
        <v>347.03199999999998</v>
      </c>
      <c r="U18">
        <v>20.48</v>
      </c>
      <c r="V18" s="2">
        <v>-0.34996000000000005</v>
      </c>
      <c r="W18">
        <v>-8.923</v>
      </c>
      <c r="X18">
        <v>280.84500000000003</v>
      </c>
      <c r="Y18">
        <v>16.574000000000002</v>
      </c>
      <c r="Z18" s="2">
        <v>3.7740000000000003E-2</v>
      </c>
      <c r="AA18" s="2">
        <v>4.5830000000000003E-2</v>
      </c>
      <c r="AB18">
        <v>474.21</v>
      </c>
      <c r="AC18">
        <v>542.6</v>
      </c>
      <c r="AD18" s="2">
        <v>0.24398</v>
      </c>
      <c r="AE18" s="2">
        <v>8.0600000000000012E-3</v>
      </c>
      <c r="AF18">
        <v>25.137</v>
      </c>
      <c r="AG18">
        <v>53258.633000000002</v>
      </c>
      <c r="AH18">
        <v>1.5129999999999999</v>
      </c>
      <c r="AI18" s="2">
        <v>-4.1799999999999997E-3</v>
      </c>
      <c r="AJ18">
        <v>-7.2409999999999997</v>
      </c>
      <c r="AK18">
        <v>769.80700000000002</v>
      </c>
      <c r="AL18">
        <v>45.43</v>
      </c>
      <c r="AM18">
        <v>29197.190999999999</v>
      </c>
      <c r="AN18">
        <v>1723.066</v>
      </c>
      <c r="AO18" s="2">
        <v>8.3729999999999999E-2</v>
      </c>
      <c r="AP18" s="2">
        <v>0.54822000000000004</v>
      </c>
      <c r="AQ18" s="2">
        <v>4.981E-2</v>
      </c>
      <c r="AR18">
        <v>20.72</v>
      </c>
      <c r="AS18">
        <v>436.68400000000003</v>
      </c>
      <c r="AT18">
        <v>257</v>
      </c>
      <c r="AU18">
        <v>15.15</v>
      </c>
      <c r="AV18">
        <v>7399.57</v>
      </c>
      <c r="AW18" s="2">
        <v>2.8229999999999998E-2</v>
      </c>
      <c r="AX18">
        <v>0.54900000000000004</v>
      </c>
      <c r="AY18">
        <v>338.95400000000001</v>
      </c>
      <c r="AZ18">
        <v>20.003</v>
      </c>
      <c r="BA18" s="2">
        <v>2.7919999999999997E-2</v>
      </c>
      <c r="BB18" s="2">
        <v>0.13894000000000001</v>
      </c>
      <c r="BC18">
        <v>37.24</v>
      </c>
      <c r="BD18" s="2">
        <v>0.11912</v>
      </c>
      <c r="BE18">
        <v>21.949000000000002</v>
      </c>
      <c r="BF18">
        <v>218.184</v>
      </c>
      <c r="BG18">
        <v>1230.539</v>
      </c>
      <c r="BH18">
        <v>72.62</v>
      </c>
      <c r="BI18">
        <v>3697.1019999999999</v>
      </c>
      <c r="BJ18" s="2">
        <v>0.13384000000000001</v>
      </c>
      <c r="BK18" s="2">
        <v>6.9419999999999996E-2</v>
      </c>
      <c r="BL18" s="2">
        <v>2.9289999999999997E-2</v>
      </c>
      <c r="BM18">
        <v>32.378</v>
      </c>
      <c r="BN18">
        <v>1419.981</v>
      </c>
      <c r="BO18">
        <v>8424.5010000000002</v>
      </c>
      <c r="BP18">
        <v>497.17</v>
      </c>
      <c r="BQ18">
        <v>24061.445</v>
      </c>
      <c r="BR18" s="2">
        <v>0.91626999999999992</v>
      </c>
      <c r="BS18" s="2">
        <v>0.45177999999999996</v>
      </c>
      <c r="BT18">
        <v>-68.39</v>
      </c>
      <c r="BU18" s="2">
        <v>-0.14422000000000001</v>
      </c>
      <c r="BV18" s="2">
        <v>1.4250000000000001E-2</v>
      </c>
      <c r="BW18">
        <v>9.0229999999999997</v>
      </c>
      <c r="BX18">
        <v>1187.0509999999999</v>
      </c>
      <c r="BY18">
        <v>7135</v>
      </c>
      <c r="BZ18">
        <v>421</v>
      </c>
      <c r="CA18">
        <v>20114.469000000001</v>
      </c>
      <c r="CB18" s="2">
        <v>0.78</v>
      </c>
      <c r="CC18" s="2">
        <v>0.37768000000000002</v>
      </c>
      <c r="CD18" s="2">
        <v>-7.2999999999999996E-4</v>
      </c>
      <c r="CE18">
        <v>-0.83599999999999997</v>
      </c>
      <c r="CF18">
        <v>1142.346</v>
      </c>
      <c r="CG18">
        <v>166.06</v>
      </c>
      <c r="CH18">
        <v>9.8000000000000007</v>
      </c>
      <c r="CI18">
        <v>19356.947</v>
      </c>
      <c r="CJ18" s="2">
        <v>-3.4340000000000002E-2</v>
      </c>
      <c r="CK18">
        <v>-0.74099999999999999</v>
      </c>
      <c r="CL18">
        <v>352.91800000000001</v>
      </c>
      <c r="CM18">
        <v>20.827000000000002</v>
      </c>
      <c r="CN18" s="2">
        <v>1.806E-2</v>
      </c>
      <c r="CO18" s="2">
        <v>0.36345</v>
      </c>
      <c r="CP18">
        <v>10.643000000000001</v>
      </c>
      <c r="CQ18">
        <v>3.33</v>
      </c>
      <c r="CR18">
        <v>0.48</v>
      </c>
      <c r="CS18" s="2">
        <v>0.11654</v>
      </c>
      <c r="CT18">
        <v>1.111</v>
      </c>
      <c r="CU18">
        <v>56</v>
      </c>
      <c r="CV18">
        <v>8</v>
      </c>
      <c r="CW18">
        <v>180.34100000000001</v>
      </c>
      <c r="CX18" s="2">
        <v>6.1399999999999996E-3</v>
      </c>
      <c r="CY18" s="2">
        <v>8.7999999999999992E-4</v>
      </c>
      <c r="CZ18" s="2">
        <v>3.3900000000000002E-3</v>
      </c>
      <c r="DA18">
        <v>9194.3070000000007</v>
      </c>
      <c r="DB18">
        <v>3143.0459999999998</v>
      </c>
      <c r="DC18" s="2">
        <v>0.11481</v>
      </c>
      <c r="DD18">
        <v>23.356000000000002</v>
      </c>
      <c r="DE18">
        <v>232.93</v>
      </c>
      <c r="DF18">
        <v>1289.338</v>
      </c>
      <c r="DG18">
        <v>76.09</v>
      </c>
      <c r="DH18">
        <v>3946.9760000000001</v>
      </c>
      <c r="DI18" s="2">
        <v>0.14022999999999999</v>
      </c>
      <c r="DJ18" s="2">
        <v>7.4109999999999995E-2</v>
      </c>
      <c r="DK18" s="2">
        <v>0.17943999999999999</v>
      </c>
      <c r="DL18">
        <v>3.0000000000000001E-3</v>
      </c>
      <c r="DM18">
        <v>1.7999999999999999E-2</v>
      </c>
      <c r="DN18">
        <v>0.16900000000000001</v>
      </c>
      <c r="DO18">
        <v>0.01</v>
      </c>
      <c r="DP18">
        <v>0.307</v>
      </c>
      <c r="DQ18" s="2">
        <v>2.0000000000000002E-5</v>
      </c>
      <c r="DR18" s="2">
        <v>1.0000000000000001E-5</v>
      </c>
      <c r="DS18" s="2">
        <v>1.7291700000000001</v>
      </c>
      <c r="DT18">
        <v>0.24299999999999999</v>
      </c>
      <c r="DU18">
        <v>0.38500000000000001</v>
      </c>
      <c r="DV18">
        <v>2</v>
      </c>
      <c r="DW18">
        <v>0.13</v>
      </c>
      <c r="DX18">
        <v>6.5209999999999999</v>
      </c>
      <c r="DY18" s="2">
        <v>2.4000000000000001E-4</v>
      </c>
      <c r="DZ18" s="2">
        <v>1.2E-4</v>
      </c>
    </row>
    <row r="19" spans="1:130" x14ac:dyDescent="0.3">
      <c r="A19" t="s">
        <v>165</v>
      </c>
      <c r="B19">
        <v>2001</v>
      </c>
      <c r="C19" t="s">
        <v>168</v>
      </c>
      <c r="D19" s="1">
        <v>81514568</v>
      </c>
      <c r="E19" s="1">
        <v>2793372909568</v>
      </c>
      <c r="F19" s="1">
        <v>2793372.9095680001</v>
      </c>
      <c r="G19" s="2">
        <v>0.40003</v>
      </c>
      <c r="H19">
        <v>1.028</v>
      </c>
      <c r="I19">
        <v>44.128</v>
      </c>
      <c r="J19">
        <v>3.597</v>
      </c>
      <c r="K19">
        <v>56</v>
      </c>
      <c r="L19">
        <v>4.59</v>
      </c>
      <c r="M19" s="2">
        <v>7.9299999999999995E-3</v>
      </c>
      <c r="N19" s="2">
        <v>8.8999999999999995E-4</v>
      </c>
      <c r="O19">
        <v>565.447</v>
      </c>
      <c r="P19" s="2">
        <v>2.8599999999999997E-3</v>
      </c>
      <c r="Q19">
        <v>2.84</v>
      </c>
      <c r="R19">
        <v>12205.621999999999</v>
      </c>
      <c r="S19">
        <v>994.93600000000004</v>
      </c>
      <c r="T19">
        <v>3603.5279999999998</v>
      </c>
      <c r="U19">
        <v>293.74</v>
      </c>
      <c r="V19" s="2">
        <v>-4.045E-2</v>
      </c>
      <c r="W19">
        <v>-28.559000000000001</v>
      </c>
      <c r="X19">
        <v>8311.741</v>
      </c>
      <c r="Y19">
        <v>677.52800000000002</v>
      </c>
      <c r="Z19" s="2">
        <v>0.50737999999999994</v>
      </c>
      <c r="AA19" s="2">
        <v>0.24489</v>
      </c>
      <c r="AB19">
        <v>582.6</v>
      </c>
      <c r="AC19">
        <v>578.94000000000005</v>
      </c>
      <c r="AD19" s="2">
        <v>0.15761</v>
      </c>
      <c r="AE19" s="2">
        <v>1.8710000000000001E-2</v>
      </c>
      <c r="AF19">
        <v>74.62</v>
      </c>
      <c r="AG19">
        <v>49841.387000000002</v>
      </c>
      <c r="AH19">
        <v>1.454</v>
      </c>
      <c r="AI19" s="2">
        <v>2.0230000000000001E-2</v>
      </c>
      <c r="AJ19">
        <v>68.605000000000004</v>
      </c>
      <c r="AK19">
        <v>4536.1220000000003</v>
      </c>
      <c r="AL19">
        <v>369.76</v>
      </c>
      <c r="AM19">
        <v>42451.078000000001</v>
      </c>
      <c r="AN19">
        <v>3460.3809999999999</v>
      </c>
      <c r="AO19" s="2">
        <v>0.63868000000000003</v>
      </c>
      <c r="AP19" s="2">
        <v>0.85171999999999992</v>
      </c>
      <c r="AQ19" s="2">
        <v>5.4550000000000001E-2</v>
      </c>
      <c r="AR19">
        <v>45.235999999999997</v>
      </c>
      <c r="AS19">
        <v>874.48199999999997</v>
      </c>
      <c r="AT19">
        <v>681</v>
      </c>
      <c r="AU19">
        <v>55.5</v>
      </c>
      <c r="AV19">
        <v>10727.922</v>
      </c>
      <c r="AW19" s="2">
        <v>9.5099999999999994E-3</v>
      </c>
      <c r="AX19">
        <v>1.679</v>
      </c>
      <c r="AY19">
        <v>2187.7539999999999</v>
      </c>
      <c r="AZ19">
        <v>178.334</v>
      </c>
      <c r="BA19" s="2">
        <v>9.5860000000000001E-2</v>
      </c>
      <c r="BB19" s="2">
        <v>0.21524000000000001</v>
      </c>
      <c r="BC19">
        <v>327.36</v>
      </c>
      <c r="BD19" s="2">
        <v>-6.8269999999999997E-2</v>
      </c>
      <c r="BE19">
        <v>-5.4720000000000004</v>
      </c>
      <c r="BF19">
        <v>68.156999999999996</v>
      </c>
      <c r="BG19">
        <v>278.846</v>
      </c>
      <c r="BH19">
        <v>22.73</v>
      </c>
      <c r="BI19">
        <v>836.12900000000002</v>
      </c>
      <c r="BJ19" s="2">
        <v>3.9260000000000003E-2</v>
      </c>
      <c r="BK19" s="2">
        <v>1.678E-2</v>
      </c>
      <c r="BL19" s="2">
        <v>1.8700000000000001E-2</v>
      </c>
      <c r="BM19">
        <v>6.0149999999999997</v>
      </c>
      <c r="BN19">
        <v>602.41800000000001</v>
      </c>
      <c r="BO19">
        <v>2566.1669999999999</v>
      </c>
      <c r="BP19">
        <v>209.18</v>
      </c>
      <c r="BQ19">
        <v>7390.3090000000002</v>
      </c>
      <c r="BR19" s="2">
        <v>0.36131999999999997</v>
      </c>
      <c r="BS19" s="2">
        <v>0.14828</v>
      </c>
      <c r="BT19">
        <v>3.66</v>
      </c>
      <c r="BU19" s="2">
        <v>6.28E-3</v>
      </c>
      <c r="BV19" s="2">
        <v>1.0019999999999999E-2</v>
      </c>
      <c r="BW19">
        <v>1.665</v>
      </c>
      <c r="BX19">
        <v>482.92399999999998</v>
      </c>
      <c r="BY19">
        <v>2101</v>
      </c>
      <c r="BZ19">
        <v>171</v>
      </c>
      <c r="CA19">
        <v>5924.39</v>
      </c>
      <c r="CB19" s="2">
        <v>0.3</v>
      </c>
      <c r="CC19" s="2">
        <v>0.11885999999999999</v>
      </c>
      <c r="CD19" s="2">
        <v>1.307E-2</v>
      </c>
      <c r="CE19">
        <v>20.527999999999999</v>
      </c>
      <c r="CF19">
        <v>1590.963</v>
      </c>
      <c r="CG19">
        <v>251.73400000000001</v>
      </c>
      <c r="CH19">
        <v>20.52</v>
      </c>
      <c r="CI19">
        <v>19517.532999999999</v>
      </c>
      <c r="CJ19" s="2">
        <v>1.3600000000000001E-2</v>
      </c>
      <c r="CK19">
        <v>0.55200000000000005</v>
      </c>
      <c r="CL19">
        <v>504.86399999999998</v>
      </c>
      <c r="CM19">
        <v>41.154000000000003</v>
      </c>
      <c r="CN19" s="2">
        <v>3.5439999999999999E-2</v>
      </c>
      <c r="CO19" s="2">
        <v>0.39158999999999999</v>
      </c>
      <c r="CP19">
        <v>16.599</v>
      </c>
      <c r="CQ19">
        <v>4.59</v>
      </c>
      <c r="CR19">
        <v>0</v>
      </c>
      <c r="CS19" s="2">
        <v>0.52941000000000005</v>
      </c>
      <c r="CT19">
        <v>5.7460000000000004</v>
      </c>
      <c r="CU19">
        <v>56</v>
      </c>
      <c r="CV19">
        <v>0</v>
      </c>
      <c r="CW19">
        <v>203.63800000000001</v>
      </c>
      <c r="CX19" s="2">
        <v>7.9299999999999995E-3</v>
      </c>
      <c r="CY19" s="2">
        <v>0</v>
      </c>
      <c r="CZ19" s="2">
        <v>4.0899999999999999E-3</v>
      </c>
      <c r="DA19">
        <v>7102.2889999999998</v>
      </c>
      <c r="DB19">
        <v>4062.799</v>
      </c>
      <c r="DC19" s="2">
        <v>5.5190000000000003E-2</v>
      </c>
      <c r="DD19">
        <v>4.351</v>
      </c>
      <c r="DE19">
        <v>119.494</v>
      </c>
      <c r="DF19">
        <v>464.702</v>
      </c>
      <c r="DG19">
        <v>37.880000000000003</v>
      </c>
      <c r="DH19">
        <v>1465.9190000000001</v>
      </c>
      <c r="DI19" s="2">
        <v>6.5430000000000002E-2</v>
      </c>
      <c r="DJ19" s="2">
        <v>2.9409999999999999E-2</v>
      </c>
      <c r="DL19">
        <v>0.29399999999999998</v>
      </c>
      <c r="DM19">
        <v>0.29399999999999998</v>
      </c>
      <c r="DN19">
        <v>1.2270000000000001</v>
      </c>
      <c r="DO19">
        <v>0.1</v>
      </c>
      <c r="DP19">
        <v>3.6040000000000001</v>
      </c>
      <c r="DQ19" s="2">
        <v>1.7000000000000001E-4</v>
      </c>
      <c r="DR19" s="2">
        <v>7.0000000000000007E-5</v>
      </c>
      <c r="DS19" s="2">
        <v>0.10525999999999999</v>
      </c>
      <c r="DT19">
        <v>2.7549999999999999</v>
      </c>
      <c r="DU19">
        <v>30.847000000000001</v>
      </c>
      <c r="DV19">
        <v>128</v>
      </c>
      <c r="DW19">
        <v>10.46</v>
      </c>
      <c r="DX19">
        <v>378.42</v>
      </c>
      <c r="DY19" s="2">
        <v>1.8069999999999999E-2</v>
      </c>
      <c r="DZ19" s="2">
        <v>7.5900000000000004E-3</v>
      </c>
    </row>
    <row r="20" spans="1:130" x14ac:dyDescent="0.3">
      <c r="A20" t="s">
        <v>166</v>
      </c>
      <c r="B20">
        <v>2002</v>
      </c>
      <c r="C20" t="s">
        <v>167</v>
      </c>
      <c r="D20" s="1">
        <v>59372784</v>
      </c>
      <c r="E20" s="1">
        <v>2107316502528</v>
      </c>
      <c r="F20" s="1">
        <v>2107316.5025280002</v>
      </c>
      <c r="G20" s="2">
        <v>4.8490000000000005E-2</v>
      </c>
      <c r="H20">
        <v>0.17899999999999999</v>
      </c>
      <c r="I20">
        <v>65.349000000000004</v>
      </c>
      <c r="J20">
        <v>3.88</v>
      </c>
      <c r="K20">
        <v>51</v>
      </c>
      <c r="L20">
        <v>3.04</v>
      </c>
      <c r="M20" s="2">
        <v>5.5100000000000001E-3</v>
      </c>
      <c r="N20" s="2">
        <v>1.24E-3</v>
      </c>
      <c r="O20">
        <v>75.212000000000003</v>
      </c>
      <c r="P20" s="2">
        <v>7.3259999999999992E-2</v>
      </c>
      <c r="Q20">
        <v>10.552</v>
      </c>
      <c r="R20">
        <v>2603.6790000000001</v>
      </c>
      <c r="S20">
        <v>154.58799999999999</v>
      </c>
      <c r="T20">
        <v>398.49900000000002</v>
      </c>
      <c r="U20">
        <v>23.66</v>
      </c>
      <c r="V20" s="2">
        <v>-0.27661000000000002</v>
      </c>
      <c r="W20">
        <v>-4.585</v>
      </c>
      <c r="X20">
        <v>201.93600000000001</v>
      </c>
      <c r="Y20">
        <v>11.99</v>
      </c>
      <c r="Z20" s="2">
        <v>4.292E-2</v>
      </c>
      <c r="AA20" s="2">
        <v>4.9560000000000007E-2</v>
      </c>
      <c r="AB20">
        <v>474.21</v>
      </c>
      <c r="AC20">
        <v>551.24</v>
      </c>
      <c r="AD20" s="2">
        <v>0.24981</v>
      </c>
      <c r="AE20" s="2">
        <v>-7.6800000000000002E-3</v>
      </c>
      <c r="AF20">
        <v>-24.126999999999999</v>
      </c>
      <c r="AG20">
        <v>52531.129000000001</v>
      </c>
      <c r="AH20">
        <v>1.48</v>
      </c>
      <c r="AI20" s="2">
        <v>-1.145E-2</v>
      </c>
      <c r="AJ20">
        <v>-19.722000000000001</v>
      </c>
      <c r="AK20">
        <v>872.28499999999997</v>
      </c>
      <c r="AL20">
        <v>51.79</v>
      </c>
      <c r="AM20">
        <v>28688.965</v>
      </c>
      <c r="AN20">
        <v>1703.3440000000001</v>
      </c>
      <c r="AO20" s="2">
        <v>9.3949999999999992E-2</v>
      </c>
      <c r="AP20" s="2">
        <v>0.54613</v>
      </c>
      <c r="AQ20" s="2">
        <v>-1.7000000000000001E-3</v>
      </c>
      <c r="AR20">
        <v>-0.74099999999999999</v>
      </c>
      <c r="AS20">
        <v>435.94299999999998</v>
      </c>
      <c r="AT20">
        <v>309</v>
      </c>
      <c r="AU20">
        <v>18.37</v>
      </c>
      <c r="AV20">
        <v>7342.4669999999996</v>
      </c>
      <c r="AW20" s="2">
        <v>-2.4709999999999999E-2</v>
      </c>
      <c r="AX20">
        <v>-0.49399999999999999</v>
      </c>
      <c r="AY20">
        <v>328.58600000000001</v>
      </c>
      <c r="AZ20">
        <v>19.509</v>
      </c>
      <c r="BA20" s="2">
        <v>3.3319999999999995E-2</v>
      </c>
      <c r="BB20" s="2">
        <v>0.13977000000000001</v>
      </c>
      <c r="BC20">
        <v>41.46</v>
      </c>
      <c r="BD20" s="2">
        <v>-0.18676999999999999</v>
      </c>
      <c r="BE20">
        <v>-41.895000000000003</v>
      </c>
      <c r="BF20">
        <v>176.28899999999999</v>
      </c>
      <c r="BG20">
        <v>991.7</v>
      </c>
      <c r="BH20">
        <v>58.88</v>
      </c>
      <c r="BI20">
        <v>2969.1860000000001</v>
      </c>
      <c r="BJ20" s="2">
        <v>0.10680999999999999</v>
      </c>
      <c r="BK20" s="2">
        <v>5.6520000000000001E-2</v>
      </c>
      <c r="BL20" s="2">
        <v>4.64E-3</v>
      </c>
      <c r="BM20">
        <v>-4.4050000000000002</v>
      </c>
      <c r="BN20">
        <v>1415.576</v>
      </c>
      <c r="BO20">
        <v>8412.1039999999994</v>
      </c>
      <c r="BP20">
        <v>499.45</v>
      </c>
      <c r="BQ20">
        <v>23842.164000000001</v>
      </c>
      <c r="BR20" s="2">
        <v>0.90605000000000002</v>
      </c>
      <c r="BS20" s="2">
        <v>0.45387</v>
      </c>
      <c r="BT20">
        <v>-77.03</v>
      </c>
      <c r="BU20" s="2">
        <v>-0.16244</v>
      </c>
      <c r="BV20" s="2">
        <v>3.7249999999999998E-2</v>
      </c>
      <c r="BW20">
        <v>36.271000000000001</v>
      </c>
      <c r="BX20">
        <v>1223.3219999999999</v>
      </c>
      <c r="BY20">
        <v>7356</v>
      </c>
      <c r="BZ20">
        <v>437</v>
      </c>
      <c r="CA20">
        <v>20604.085999999999</v>
      </c>
      <c r="CB20" s="2">
        <v>0.79</v>
      </c>
      <c r="CC20" s="2">
        <v>0.39222999999999997</v>
      </c>
      <c r="CD20" s="2">
        <v>-2.5849999999999998E-2</v>
      </c>
      <c r="CE20">
        <v>-29.533000000000001</v>
      </c>
      <c r="CF20">
        <v>1112.8130000000001</v>
      </c>
      <c r="CG20">
        <v>164.38499999999999</v>
      </c>
      <c r="CH20">
        <v>9.76</v>
      </c>
      <c r="CI20">
        <v>18742.817999999999</v>
      </c>
      <c r="CJ20" s="2">
        <v>-3.0270000000000002E-2</v>
      </c>
      <c r="CK20">
        <v>-0.63100000000000001</v>
      </c>
      <c r="CL20">
        <v>340.17</v>
      </c>
      <c r="CM20">
        <v>20.196999999999999</v>
      </c>
      <c r="CN20" s="2">
        <v>1.771E-2</v>
      </c>
      <c r="CO20" s="2">
        <v>0.35679</v>
      </c>
      <c r="CP20">
        <v>11.291</v>
      </c>
      <c r="CQ20">
        <v>3.53</v>
      </c>
      <c r="CR20">
        <v>0.49</v>
      </c>
      <c r="CS20" s="2">
        <v>6.0890000000000007E-2</v>
      </c>
      <c r="CT20">
        <v>0.64800000000000002</v>
      </c>
      <c r="CU20">
        <v>59</v>
      </c>
      <c r="CV20">
        <v>8</v>
      </c>
      <c r="CW20">
        <v>190.16800000000001</v>
      </c>
      <c r="CX20" s="2">
        <v>6.4000000000000003E-3</v>
      </c>
      <c r="CY20" s="2">
        <v>8.8999999999999995E-4</v>
      </c>
      <c r="CZ20" s="2">
        <v>3.62E-3</v>
      </c>
      <c r="DA20">
        <v>9284.3889999999992</v>
      </c>
      <c r="DB20">
        <v>3118.9189999999999</v>
      </c>
      <c r="DC20" s="2">
        <v>-0.16396999999999998</v>
      </c>
      <c r="DD20">
        <v>-40.676000000000002</v>
      </c>
      <c r="DE20">
        <v>192.25399999999999</v>
      </c>
      <c r="DF20">
        <v>1055.8710000000001</v>
      </c>
      <c r="DG20">
        <v>62.69</v>
      </c>
      <c r="DH20">
        <v>3238.08</v>
      </c>
      <c r="DI20" s="2">
        <v>0.11373</v>
      </c>
      <c r="DJ20" s="2">
        <v>6.164E-2</v>
      </c>
      <c r="DK20" s="2">
        <v>0.15306</v>
      </c>
      <c r="DL20">
        <v>3.0000000000000001E-3</v>
      </c>
      <c r="DM20">
        <v>2.1000000000000001E-2</v>
      </c>
      <c r="DN20">
        <v>0.16800000000000001</v>
      </c>
      <c r="DO20">
        <v>0.01</v>
      </c>
      <c r="DP20">
        <v>0.34899999999999998</v>
      </c>
      <c r="DQ20" s="2">
        <v>2.0000000000000002E-5</v>
      </c>
      <c r="DR20" s="2">
        <v>1.0000000000000001E-5</v>
      </c>
      <c r="DS20" s="2">
        <v>1.0229000000000001</v>
      </c>
      <c r="DT20">
        <v>0.38900000000000001</v>
      </c>
      <c r="DU20">
        <v>0.77300000000000002</v>
      </c>
      <c r="DV20">
        <v>5</v>
      </c>
      <c r="DW20">
        <v>0.27</v>
      </c>
      <c r="DX20">
        <v>13.028</v>
      </c>
      <c r="DY20" s="2">
        <v>4.8999999999999998E-4</v>
      </c>
      <c r="DZ20" s="2">
        <v>2.5000000000000001E-4</v>
      </c>
    </row>
    <row r="21" spans="1:130" x14ac:dyDescent="0.3">
      <c r="A21" t="s">
        <v>165</v>
      </c>
      <c r="B21">
        <v>2002</v>
      </c>
      <c r="C21" t="s">
        <v>168</v>
      </c>
      <c r="D21" s="1">
        <v>81443424</v>
      </c>
      <c r="E21" s="1">
        <v>2822441533440</v>
      </c>
      <c r="F21" s="1">
        <v>2822441.5334399999</v>
      </c>
      <c r="G21" s="2">
        <v>0.57137000000000004</v>
      </c>
      <c r="H21">
        <v>2.0550000000000002</v>
      </c>
      <c r="I21">
        <v>69.400999999999996</v>
      </c>
      <c r="J21">
        <v>5.6520000000000001</v>
      </c>
      <c r="K21">
        <v>65</v>
      </c>
      <c r="L21">
        <v>5.31</v>
      </c>
      <c r="M21" s="2">
        <v>9.1000000000000004E-3</v>
      </c>
      <c r="N21" s="2">
        <v>1.4099999999999998E-3</v>
      </c>
      <c r="O21">
        <v>569.56600000000003</v>
      </c>
      <c r="P21" s="2">
        <v>2.2200000000000002E-3</v>
      </c>
      <c r="Q21">
        <v>2.2130000000000001</v>
      </c>
      <c r="R21">
        <v>12243.454</v>
      </c>
      <c r="S21">
        <v>997.149</v>
      </c>
      <c r="T21">
        <v>3678.627</v>
      </c>
      <c r="U21">
        <v>299.60000000000002</v>
      </c>
      <c r="V21" s="2">
        <v>2.8499999999999997E-3</v>
      </c>
      <c r="W21">
        <v>1.9339999999999999</v>
      </c>
      <c r="X21">
        <v>8342.7459999999992</v>
      </c>
      <c r="Y21">
        <v>679.46199999999999</v>
      </c>
      <c r="Z21" s="2">
        <v>0.51322000000000001</v>
      </c>
      <c r="AA21" s="2">
        <v>0.24856</v>
      </c>
      <c r="AB21">
        <v>593.76</v>
      </c>
      <c r="AC21">
        <v>583.76</v>
      </c>
      <c r="AD21" s="2">
        <v>0.16111999999999999</v>
      </c>
      <c r="AE21" s="2">
        <v>-1.257E-2</v>
      </c>
      <c r="AF21">
        <v>-51.076000000000001</v>
      </c>
      <c r="AG21">
        <v>49257.788999999997</v>
      </c>
      <c r="AH21">
        <v>1.421</v>
      </c>
      <c r="AI21" s="2">
        <v>-1.512E-2</v>
      </c>
      <c r="AJ21">
        <v>-52.325000000000003</v>
      </c>
      <c r="AK21">
        <v>4597.4250000000002</v>
      </c>
      <c r="AL21">
        <v>374.43</v>
      </c>
      <c r="AM21">
        <v>41845.690999999999</v>
      </c>
      <c r="AN21">
        <v>3408.056</v>
      </c>
      <c r="AO21" s="2">
        <v>0.64141000000000004</v>
      </c>
      <c r="AP21" s="2">
        <v>0.84951999999999994</v>
      </c>
      <c r="AQ21" s="2">
        <v>-1.5499999999999999E-3</v>
      </c>
      <c r="AR21">
        <v>-1.3540000000000001</v>
      </c>
      <c r="AS21">
        <v>873.12800000000004</v>
      </c>
      <c r="AT21">
        <v>691</v>
      </c>
      <c r="AU21">
        <v>56.3</v>
      </c>
      <c r="AV21">
        <v>10720.665999999999</v>
      </c>
      <c r="AW21" s="2">
        <v>-2.6099999999999999E-3</v>
      </c>
      <c r="AX21">
        <v>-0.46600000000000003</v>
      </c>
      <c r="AY21">
        <v>2183.9430000000002</v>
      </c>
      <c r="AZ21">
        <v>177.86799999999999</v>
      </c>
      <c r="BA21" s="2">
        <v>9.6439999999999998E-2</v>
      </c>
      <c r="BB21" s="2">
        <v>0.21764</v>
      </c>
      <c r="BC21">
        <v>332.49</v>
      </c>
      <c r="BD21" s="2">
        <v>2.155E-2</v>
      </c>
      <c r="BE21">
        <v>1.02</v>
      </c>
      <c r="BF21">
        <v>69.176000000000002</v>
      </c>
      <c r="BG21">
        <v>283.87799999999999</v>
      </c>
      <c r="BH21">
        <v>23.12</v>
      </c>
      <c r="BI21">
        <v>849.38</v>
      </c>
      <c r="BJ21" s="2">
        <v>3.9609999999999999E-2</v>
      </c>
      <c r="BK21" s="2">
        <v>1.7239999999999998E-2</v>
      </c>
      <c r="BL21" s="2">
        <v>1.2589999999999999E-2</v>
      </c>
      <c r="BM21">
        <v>1.2490000000000001</v>
      </c>
      <c r="BN21">
        <v>603.66600000000005</v>
      </c>
      <c r="BO21">
        <v>2570.25</v>
      </c>
      <c r="BP21">
        <v>209.33</v>
      </c>
      <c r="BQ21">
        <v>7412.0950000000003</v>
      </c>
      <c r="BR21" s="2">
        <v>0.35859000000000002</v>
      </c>
      <c r="BS21" s="2">
        <v>0.15048</v>
      </c>
      <c r="BT21">
        <v>10</v>
      </c>
      <c r="BU21" s="2">
        <v>1.6840000000000001E-2</v>
      </c>
      <c r="BV21" s="2">
        <v>-3.773E-2</v>
      </c>
      <c r="BW21">
        <v>-21.218</v>
      </c>
      <c r="BX21">
        <v>461.70600000000002</v>
      </c>
      <c r="BY21">
        <v>2024</v>
      </c>
      <c r="BZ21">
        <v>165</v>
      </c>
      <c r="CA21">
        <v>5669.0420000000004</v>
      </c>
      <c r="CB21" s="2">
        <v>0.28000000000000003</v>
      </c>
      <c r="CC21" s="2">
        <v>0.11509</v>
      </c>
      <c r="CD21" s="2">
        <v>-3.3430000000000001E-2</v>
      </c>
      <c r="CE21">
        <v>-53.183</v>
      </c>
      <c r="CF21">
        <v>1537.78</v>
      </c>
      <c r="CG21">
        <v>227.52</v>
      </c>
      <c r="CH21">
        <v>18.53</v>
      </c>
      <c r="CI21">
        <v>18881.572</v>
      </c>
      <c r="CJ21" s="2">
        <v>6.1660000000000006E-2</v>
      </c>
      <c r="CK21">
        <v>2.5379999999999998</v>
      </c>
      <c r="CL21">
        <v>536.46400000000006</v>
      </c>
      <c r="CM21">
        <v>43.691000000000003</v>
      </c>
      <c r="CN21" s="2">
        <v>3.1739999999999997E-2</v>
      </c>
      <c r="CO21" s="2">
        <v>0.38331999999999999</v>
      </c>
      <c r="CP21">
        <v>20.43</v>
      </c>
      <c r="CQ21">
        <v>5.31</v>
      </c>
      <c r="CR21">
        <v>0</v>
      </c>
      <c r="CS21" s="2">
        <v>0.23077000000000003</v>
      </c>
      <c r="CT21">
        <v>3.831</v>
      </c>
      <c r="CU21">
        <v>65</v>
      </c>
      <c r="CV21">
        <v>0</v>
      </c>
      <c r="CW21">
        <v>250.85</v>
      </c>
      <c r="CX21" s="2">
        <v>9.1000000000000004E-3</v>
      </c>
      <c r="CY21" s="2">
        <v>0</v>
      </c>
      <c r="CZ21" s="2">
        <v>5.0899999999999999E-3</v>
      </c>
      <c r="DA21">
        <v>7167.6750000000002</v>
      </c>
      <c r="DB21">
        <v>4011.723</v>
      </c>
      <c r="DC21" s="2">
        <v>0.21492999999999998</v>
      </c>
      <c r="DD21">
        <v>22.466000000000001</v>
      </c>
      <c r="DE21">
        <v>141.96</v>
      </c>
      <c r="DF21">
        <v>546.26900000000001</v>
      </c>
      <c r="DG21">
        <v>44.49</v>
      </c>
      <c r="DH21">
        <v>1743.0519999999999</v>
      </c>
      <c r="DI21" s="2">
        <v>7.621E-2</v>
      </c>
      <c r="DJ21" s="2">
        <v>3.5390000000000005E-2</v>
      </c>
      <c r="DK21" s="2">
        <v>1</v>
      </c>
      <c r="DL21">
        <v>0.28999999999999998</v>
      </c>
      <c r="DM21">
        <v>0.58399999999999996</v>
      </c>
      <c r="DN21">
        <v>2.456</v>
      </c>
      <c r="DO21">
        <v>0.2</v>
      </c>
      <c r="DP21">
        <v>7.1680000000000001</v>
      </c>
      <c r="DQ21" s="2">
        <v>3.4000000000000002E-4</v>
      </c>
      <c r="DR21" s="2">
        <v>1.4999999999999999E-4</v>
      </c>
      <c r="DS21" s="2">
        <v>0.50475999999999999</v>
      </c>
      <c r="DT21">
        <v>15.271000000000001</v>
      </c>
      <c r="DU21">
        <v>46.118000000000002</v>
      </c>
      <c r="DV21">
        <v>195</v>
      </c>
      <c r="DW21">
        <v>15.86</v>
      </c>
      <c r="DX21">
        <v>566.25300000000004</v>
      </c>
      <c r="DY21" s="2">
        <v>2.717E-2</v>
      </c>
      <c r="DZ21" s="2">
        <v>1.15E-2</v>
      </c>
    </row>
    <row r="22" spans="1:130" x14ac:dyDescent="0.3">
      <c r="A22" t="s">
        <v>166</v>
      </c>
      <c r="B22">
        <v>2003</v>
      </c>
      <c r="C22" t="s">
        <v>167</v>
      </c>
      <c r="D22" s="1">
        <v>59728260</v>
      </c>
      <c r="E22" s="1">
        <v>2130940657664</v>
      </c>
      <c r="F22" s="1">
        <v>2130940.6576640001</v>
      </c>
      <c r="G22" s="2">
        <v>-8.1129999999999994E-2</v>
      </c>
      <c r="H22">
        <v>-0.315</v>
      </c>
      <c r="I22">
        <v>59.689</v>
      </c>
      <c r="J22">
        <v>3.5649999999999999</v>
      </c>
      <c r="K22">
        <v>54</v>
      </c>
      <c r="L22">
        <v>3.23</v>
      </c>
      <c r="M22" s="2">
        <v>5.7799999999999995E-3</v>
      </c>
      <c r="N22" s="2">
        <v>1.1299999999999999E-3</v>
      </c>
      <c r="O22">
        <v>80.858000000000004</v>
      </c>
      <c r="P22" s="2">
        <v>5.9679999999999997E-2</v>
      </c>
      <c r="Q22">
        <v>9.2260000000000009</v>
      </c>
      <c r="R22">
        <v>2742.6550000000002</v>
      </c>
      <c r="S22">
        <v>163.81399999999999</v>
      </c>
      <c r="T22">
        <v>439.65800000000002</v>
      </c>
      <c r="U22">
        <v>26.26</v>
      </c>
      <c r="V22" s="2">
        <v>9.8829999999999987E-2</v>
      </c>
      <c r="W22">
        <v>1.1850000000000001</v>
      </c>
      <c r="X22">
        <v>220.572</v>
      </c>
      <c r="Y22">
        <v>13.173999999999999</v>
      </c>
      <c r="Z22" s="2">
        <v>4.6969999999999998E-2</v>
      </c>
      <c r="AA22" s="2">
        <v>5.1950000000000003E-2</v>
      </c>
      <c r="AB22">
        <v>492.72</v>
      </c>
      <c r="AC22">
        <v>559.13</v>
      </c>
      <c r="AD22" s="2">
        <v>0.24914999999999998</v>
      </c>
      <c r="AE22" s="2">
        <v>1.094E-2</v>
      </c>
      <c r="AF22">
        <v>34.122</v>
      </c>
      <c r="AG22">
        <v>52789.781000000003</v>
      </c>
      <c r="AH22">
        <v>1.48</v>
      </c>
      <c r="AI22" s="2">
        <v>2.0369999999999999E-2</v>
      </c>
      <c r="AJ22">
        <v>34.703000000000003</v>
      </c>
      <c r="AK22">
        <v>947.45799999999997</v>
      </c>
      <c r="AL22">
        <v>56.59</v>
      </c>
      <c r="AM22">
        <v>29099.238000000001</v>
      </c>
      <c r="AN22">
        <v>1738.047</v>
      </c>
      <c r="AO22" s="2">
        <v>0.10121000000000001</v>
      </c>
      <c r="AP22" s="2">
        <v>0.55123</v>
      </c>
      <c r="AQ22" s="2">
        <v>4.8920000000000005E-2</v>
      </c>
      <c r="AR22">
        <v>21.326000000000001</v>
      </c>
      <c r="AS22">
        <v>457.26799999999997</v>
      </c>
      <c r="AT22">
        <v>324</v>
      </c>
      <c r="AU22">
        <v>19.37</v>
      </c>
      <c r="AV22">
        <v>7655.8109999999997</v>
      </c>
      <c r="AW22" s="2">
        <v>-0.13657</v>
      </c>
      <c r="AX22">
        <v>-2.6640000000000001</v>
      </c>
      <c r="AY22">
        <v>282.02300000000002</v>
      </c>
      <c r="AZ22">
        <v>16.844999999999999</v>
      </c>
      <c r="BA22" s="2">
        <v>3.4639999999999997E-2</v>
      </c>
      <c r="BB22" s="2">
        <v>0.14502000000000001</v>
      </c>
      <c r="BC22">
        <v>45.21</v>
      </c>
      <c r="BD22" s="2">
        <v>-2.4070000000000001E-2</v>
      </c>
      <c r="BE22">
        <v>-5.3470000000000004</v>
      </c>
      <c r="BF22">
        <v>170.94200000000001</v>
      </c>
      <c r="BG22">
        <v>960.18200000000002</v>
      </c>
      <c r="BH22">
        <v>57.35</v>
      </c>
      <c r="BI22">
        <v>2861.9960000000001</v>
      </c>
      <c r="BJ22" s="2">
        <v>0.10256999999999999</v>
      </c>
      <c r="BK22" s="2">
        <v>5.4210000000000001E-2</v>
      </c>
      <c r="BL22" s="2">
        <v>5.6399999999999992E-3</v>
      </c>
      <c r="BM22">
        <v>-0.58099999999999996</v>
      </c>
      <c r="BN22">
        <v>1414.9949999999999</v>
      </c>
      <c r="BO22">
        <v>8413.7720000000008</v>
      </c>
      <c r="BP22">
        <v>502.54</v>
      </c>
      <c r="BQ22">
        <v>23690.544999999998</v>
      </c>
      <c r="BR22" s="2">
        <v>0.89879000000000009</v>
      </c>
      <c r="BS22" s="2">
        <v>0.44877</v>
      </c>
      <c r="BT22">
        <v>-66.41</v>
      </c>
      <c r="BU22" s="2">
        <v>-0.13478000000000001</v>
      </c>
      <c r="BV22" s="2">
        <v>9.8700000000000003E-3</v>
      </c>
      <c r="BW22">
        <v>4.1529999999999996</v>
      </c>
      <c r="BX22">
        <v>1227.4749999999999</v>
      </c>
      <c r="BY22">
        <v>7385</v>
      </c>
      <c r="BZ22">
        <v>441</v>
      </c>
      <c r="CA22">
        <v>20550.986000000001</v>
      </c>
      <c r="CB22" s="2">
        <v>0.79</v>
      </c>
      <c r="CC22" s="2">
        <v>0.38929999999999998</v>
      </c>
      <c r="CD22" s="2">
        <v>3.7299999999999998E-3</v>
      </c>
      <c r="CE22">
        <v>4.1509999999999998</v>
      </c>
      <c r="CF22">
        <v>1116.9639999999999</v>
      </c>
      <c r="CG22">
        <v>183.49799999999999</v>
      </c>
      <c r="CH22">
        <v>10.96</v>
      </c>
      <c r="CI22">
        <v>18700.77</v>
      </c>
      <c r="CJ22" s="2">
        <v>-0.12772</v>
      </c>
      <c r="CK22">
        <v>-2.58</v>
      </c>
      <c r="CL22">
        <v>294.95800000000003</v>
      </c>
      <c r="CM22">
        <v>17.617000000000001</v>
      </c>
      <c r="CN22" s="2">
        <v>1.9599999999999999E-2</v>
      </c>
      <c r="CO22" s="2">
        <v>0.35424999999999995</v>
      </c>
      <c r="CP22">
        <v>11.865</v>
      </c>
      <c r="CQ22">
        <v>3.72</v>
      </c>
      <c r="CR22">
        <v>0.49</v>
      </c>
      <c r="CS22" s="2">
        <v>5.0890000000000005E-2</v>
      </c>
      <c r="CT22">
        <v>0.57499999999999996</v>
      </c>
      <c r="CU22">
        <v>62</v>
      </c>
      <c r="CV22">
        <v>8</v>
      </c>
      <c r="CW22">
        <v>198.65700000000001</v>
      </c>
      <c r="CX22" s="2">
        <v>6.6500000000000005E-3</v>
      </c>
      <c r="CY22" s="2">
        <v>8.7999999999999992E-4</v>
      </c>
      <c r="CZ22" s="2">
        <v>3.7599999999999999E-3</v>
      </c>
      <c r="DA22">
        <v>9361.23</v>
      </c>
      <c r="DB22">
        <v>3153.0419999999999</v>
      </c>
      <c r="DC22" s="2">
        <v>-2.1520000000000001E-2</v>
      </c>
      <c r="DD22">
        <v>-4.7329999999999997</v>
      </c>
      <c r="DE22">
        <v>187.52</v>
      </c>
      <c r="DF22">
        <v>1029.1610000000001</v>
      </c>
      <c r="DG22">
        <v>61.47</v>
      </c>
      <c r="DH22">
        <v>3139.558</v>
      </c>
      <c r="DI22" s="2">
        <v>0.10994</v>
      </c>
      <c r="DJ22" s="2">
        <v>5.9470000000000002E-2</v>
      </c>
      <c r="DK22" s="2">
        <v>9.3450000000000005E-2</v>
      </c>
      <c r="DL22">
        <v>2E-3</v>
      </c>
      <c r="DM22">
        <v>2.3E-2</v>
      </c>
      <c r="DN22">
        <v>0.16700000000000001</v>
      </c>
      <c r="DO22">
        <v>0.01</v>
      </c>
      <c r="DP22">
        <v>0.377</v>
      </c>
      <c r="DQ22" s="2">
        <v>2.0000000000000002E-5</v>
      </c>
      <c r="DR22" s="2">
        <v>1.0000000000000001E-5</v>
      </c>
      <c r="DS22" s="2">
        <v>0.46415000000000001</v>
      </c>
      <c r="DT22">
        <v>0.35199999999999998</v>
      </c>
      <c r="DU22">
        <v>1.125</v>
      </c>
      <c r="DV22">
        <v>7</v>
      </c>
      <c r="DW22">
        <v>0.39</v>
      </c>
      <c r="DX22">
        <v>18.838999999999999</v>
      </c>
      <c r="DY22" s="2">
        <v>7.000000000000001E-4</v>
      </c>
      <c r="DZ22" s="2">
        <v>3.5999999999999997E-4</v>
      </c>
    </row>
    <row r="23" spans="1:130" x14ac:dyDescent="0.3">
      <c r="A23" t="s">
        <v>165</v>
      </c>
      <c r="B23">
        <v>2003</v>
      </c>
      <c r="C23" t="s">
        <v>168</v>
      </c>
      <c r="D23" s="1">
        <v>81346808</v>
      </c>
      <c r="E23" s="1">
        <v>2831676080128</v>
      </c>
      <c r="F23" s="1">
        <v>2831676.0801280001</v>
      </c>
      <c r="G23" s="2">
        <v>0.43284999999999996</v>
      </c>
      <c r="H23">
        <v>2.4470000000000001</v>
      </c>
      <c r="I23">
        <v>99.56</v>
      </c>
      <c r="J23">
        <v>8.0990000000000002</v>
      </c>
      <c r="K23">
        <v>110</v>
      </c>
      <c r="L23">
        <v>8.9499999999999993</v>
      </c>
      <c r="M23" s="2">
        <v>1.4870000000000001E-2</v>
      </c>
      <c r="N23" s="2">
        <v>2.0200000000000001E-3</v>
      </c>
      <c r="O23">
        <v>569.95500000000004</v>
      </c>
      <c r="P23" s="2">
        <v>1.652E-2</v>
      </c>
      <c r="Q23">
        <v>16.471</v>
      </c>
      <c r="R23">
        <v>12460.475</v>
      </c>
      <c r="S23">
        <v>1013.62</v>
      </c>
      <c r="T23">
        <v>3744.8310000000001</v>
      </c>
      <c r="U23">
        <v>304.63</v>
      </c>
      <c r="V23" s="2">
        <v>-1.069E-2</v>
      </c>
      <c r="W23">
        <v>-7.2610000000000001</v>
      </c>
      <c r="X23">
        <v>8263.39</v>
      </c>
      <c r="Y23">
        <v>672.2</v>
      </c>
      <c r="Z23" s="2">
        <v>0.50600000000000001</v>
      </c>
      <c r="AA23" s="2">
        <v>0.25274000000000002</v>
      </c>
      <c r="AB23">
        <v>598.76</v>
      </c>
      <c r="AC23">
        <v>602.03</v>
      </c>
      <c r="AD23" s="2">
        <v>0.16608000000000001</v>
      </c>
      <c r="AE23" s="2">
        <v>-3.1E-4</v>
      </c>
      <c r="AF23">
        <v>-1.252</v>
      </c>
      <c r="AG23">
        <v>49300.902000000002</v>
      </c>
      <c r="AH23">
        <v>1.4159999999999999</v>
      </c>
      <c r="AI23" s="2">
        <v>-8.7999999999999992E-4</v>
      </c>
      <c r="AJ23">
        <v>-3</v>
      </c>
      <c r="AK23">
        <v>4797.9750000000004</v>
      </c>
      <c r="AL23">
        <v>390.3</v>
      </c>
      <c r="AM23">
        <v>41858.516000000003</v>
      </c>
      <c r="AN23">
        <v>3405.0569999999998</v>
      </c>
      <c r="AO23" s="2">
        <v>0.64831000000000005</v>
      </c>
      <c r="AP23" s="2">
        <v>0.84904000000000002</v>
      </c>
      <c r="AQ23" s="2">
        <v>1.213E-2</v>
      </c>
      <c r="AR23">
        <v>10.592000000000001</v>
      </c>
      <c r="AS23">
        <v>883.72</v>
      </c>
      <c r="AT23">
        <v>769</v>
      </c>
      <c r="AU23">
        <v>62.59</v>
      </c>
      <c r="AV23">
        <v>10863.606</v>
      </c>
      <c r="AW23" s="2">
        <v>4.0979999999999996E-2</v>
      </c>
      <c r="AX23">
        <v>7.2889999999999997</v>
      </c>
      <c r="AY23">
        <v>2276.1390000000001</v>
      </c>
      <c r="AZ23">
        <v>185.15700000000001</v>
      </c>
      <c r="BA23" s="2">
        <v>0.10396000000000001</v>
      </c>
      <c r="BB23" s="2">
        <v>0.22034999999999999</v>
      </c>
      <c r="BC23">
        <v>343.13</v>
      </c>
      <c r="BD23" s="2">
        <v>-0.22695000000000001</v>
      </c>
      <c r="BE23">
        <v>-16.042999999999999</v>
      </c>
      <c r="BF23">
        <v>53.134</v>
      </c>
      <c r="BG23">
        <v>225.209</v>
      </c>
      <c r="BH23">
        <v>18.32</v>
      </c>
      <c r="BI23">
        <v>653.17600000000004</v>
      </c>
      <c r="BJ23" s="2">
        <v>3.0430000000000002E-2</v>
      </c>
      <c r="BK23" s="2">
        <v>1.325E-2</v>
      </c>
      <c r="BL23" s="2">
        <v>1.4930000000000001E-2</v>
      </c>
      <c r="BM23">
        <v>1.748</v>
      </c>
      <c r="BN23">
        <v>605.41399999999999</v>
      </c>
      <c r="BO23">
        <v>2602.806</v>
      </c>
      <c r="BP23">
        <v>211.73</v>
      </c>
      <c r="BQ23">
        <v>7442.384</v>
      </c>
      <c r="BR23" s="2">
        <v>0.35168999999999995</v>
      </c>
      <c r="BS23" s="2">
        <v>0.15096000000000001</v>
      </c>
      <c r="BT23">
        <v>-3.27</v>
      </c>
      <c r="BU23" s="2">
        <v>-5.4600000000000004E-3</v>
      </c>
      <c r="BV23" s="2">
        <v>1.32E-3</v>
      </c>
      <c r="BW23">
        <v>-2.3530000000000002</v>
      </c>
      <c r="BX23">
        <v>459.35300000000001</v>
      </c>
      <c r="BY23">
        <v>2029</v>
      </c>
      <c r="BZ23">
        <v>165</v>
      </c>
      <c r="CA23">
        <v>5646.8509999999997</v>
      </c>
      <c r="CB23" s="2">
        <v>0.27</v>
      </c>
      <c r="CC23" s="2">
        <v>0.11454</v>
      </c>
      <c r="CD23" s="2">
        <v>-1.9550000000000001E-2</v>
      </c>
      <c r="CE23">
        <v>-30.062999999999999</v>
      </c>
      <c r="CF23">
        <v>1507.7170000000001</v>
      </c>
      <c r="CG23">
        <v>283.72300000000001</v>
      </c>
      <c r="CH23">
        <v>23.08</v>
      </c>
      <c r="CI23">
        <v>18534.434000000001</v>
      </c>
      <c r="CJ23" s="2">
        <v>4.99E-2</v>
      </c>
      <c r="CK23">
        <v>2.1800000000000002</v>
      </c>
      <c r="CL23">
        <v>563.90099999999995</v>
      </c>
      <c r="CM23">
        <v>45.872</v>
      </c>
      <c r="CN23" s="2">
        <v>3.8339999999999999E-2</v>
      </c>
      <c r="CO23" s="2">
        <v>0.37595000000000001</v>
      </c>
      <c r="CP23">
        <v>28.565999999999999</v>
      </c>
      <c r="CQ23">
        <v>8.9499999999999993</v>
      </c>
      <c r="CR23">
        <v>0</v>
      </c>
      <c r="CS23" s="2">
        <v>0.39823000000000003</v>
      </c>
      <c r="CT23">
        <v>8.1359999999999992</v>
      </c>
      <c r="CU23">
        <v>110</v>
      </c>
      <c r="CV23">
        <v>0</v>
      </c>
      <c r="CW23">
        <v>351.16199999999998</v>
      </c>
      <c r="CX23" s="2">
        <v>1.4870000000000001E-2</v>
      </c>
      <c r="CY23" s="2">
        <v>0</v>
      </c>
      <c r="CZ23" s="2">
        <v>7.1199999999999996E-3</v>
      </c>
      <c r="DA23">
        <v>7400.7820000000002</v>
      </c>
      <c r="DB23">
        <v>4010.471</v>
      </c>
      <c r="DC23" s="2">
        <v>5.8289999999999995E-2</v>
      </c>
      <c r="DD23">
        <v>4.101</v>
      </c>
      <c r="DE23">
        <v>146.06100000000001</v>
      </c>
      <c r="DF23">
        <v>573.71600000000001</v>
      </c>
      <c r="DG23">
        <v>46.67</v>
      </c>
      <c r="DH23">
        <v>1795.5340000000001</v>
      </c>
      <c r="DI23" s="2">
        <v>7.7519999999999992E-2</v>
      </c>
      <c r="DJ23" s="2">
        <v>3.6420000000000001E-2</v>
      </c>
      <c r="DK23" s="2">
        <v>0.56499999999999995</v>
      </c>
      <c r="DL23">
        <v>0.32400000000000001</v>
      </c>
      <c r="DM23">
        <v>0.90800000000000003</v>
      </c>
      <c r="DN23">
        <v>3.8109999999999999</v>
      </c>
      <c r="DO23">
        <v>0.31</v>
      </c>
      <c r="DP23">
        <v>11.159000000000001</v>
      </c>
      <c r="DQ23" s="2">
        <v>5.0999999999999993E-4</v>
      </c>
      <c r="DR23" s="2">
        <v>2.3000000000000001E-4</v>
      </c>
      <c r="DS23" s="2">
        <v>0.20803999999999997</v>
      </c>
      <c r="DT23">
        <v>9.2370000000000001</v>
      </c>
      <c r="DU23">
        <v>55.354999999999997</v>
      </c>
      <c r="DV23">
        <v>235</v>
      </c>
      <c r="DW23">
        <v>19.09</v>
      </c>
      <c r="DX23">
        <v>680.47699999999998</v>
      </c>
      <c r="DY23" s="2">
        <v>3.1709999999999995E-2</v>
      </c>
      <c r="DZ23" s="2">
        <v>1.38E-2</v>
      </c>
    </row>
    <row r="24" spans="1:130" x14ac:dyDescent="0.3">
      <c r="A24" t="s">
        <v>166</v>
      </c>
      <c r="B24">
        <v>2004</v>
      </c>
      <c r="C24" t="s">
        <v>167</v>
      </c>
      <c r="D24" s="1">
        <v>60108436</v>
      </c>
      <c r="E24" s="1">
        <v>2196883505152</v>
      </c>
      <c r="F24" s="1">
        <v>2196883.5051520001</v>
      </c>
      <c r="G24" s="2">
        <v>9.0609999999999996E-2</v>
      </c>
      <c r="H24">
        <v>0.32300000000000001</v>
      </c>
      <c r="I24">
        <v>64.686000000000007</v>
      </c>
      <c r="J24">
        <v>3.8879999999999999</v>
      </c>
      <c r="K24">
        <v>55</v>
      </c>
      <c r="L24">
        <v>3.31</v>
      </c>
      <c r="M24" s="2">
        <v>5.8399999999999997E-3</v>
      </c>
      <c r="N24" s="2">
        <v>1.2199999999999999E-3</v>
      </c>
      <c r="O24">
        <v>77.185000000000002</v>
      </c>
      <c r="P24" s="2">
        <v>-3.7319999999999999E-2</v>
      </c>
      <c r="Q24">
        <v>-6.1130000000000004</v>
      </c>
      <c r="R24">
        <v>2623.6120000000001</v>
      </c>
      <c r="S24">
        <v>157.70099999999999</v>
      </c>
      <c r="T24">
        <v>405.43400000000003</v>
      </c>
      <c r="U24">
        <v>24.37</v>
      </c>
      <c r="V24" s="2">
        <v>-0.90783000000000003</v>
      </c>
      <c r="W24">
        <v>-11.96</v>
      </c>
      <c r="X24">
        <v>20.202000000000002</v>
      </c>
      <c r="Y24">
        <v>1.214</v>
      </c>
      <c r="Z24" s="2">
        <v>4.3029999999999999E-2</v>
      </c>
      <c r="AA24" s="2">
        <v>4.9589999999999995E-2</v>
      </c>
      <c r="AB24">
        <v>504.39</v>
      </c>
      <c r="AC24">
        <v>566.29999999999995</v>
      </c>
      <c r="AD24" s="2">
        <v>0.24992999999999999</v>
      </c>
      <c r="AE24" s="2">
        <v>8.5900000000000004E-3</v>
      </c>
      <c r="AF24">
        <v>27.088000000000001</v>
      </c>
      <c r="AG24">
        <v>52906.542999999998</v>
      </c>
      <c r="AH24">
        <v>1.448</v>
      </c>
      <c r="AI24" s="2">
        <v>7.6400000000000001E-3</v>
      </c>
      <c r="AJ24">
        <v>13.281000000000001</v>
      </c>
      <c r="AK24">
        <v>925.66</v>
      </c>
      <c r="AL24">
        <v>55.64</v>
      </c>
      <c r="AM24">
        <v>29136.133000000002</v>
      </c>
      <c r="AN24">
        <v>1751.327</v>
      </c>
      <c r="AO24" s="2">
        <v>9.824999999999999E-2</v>
      </c>
      <c r="AP24" s="2">
        <v>0.55071000000000003</v>
      </c>
      <c r="AQ24" s="2">
        <v>2.112E-2</v>
      </c>
      <c r="AR24">
        <v>9.657</v>
      </c>
      <c r="AS24">
        <v>466.92500000000001</v>
      </c>
      <c r="AT24">
        <v>350</v>
      </c>
      <c r="AU24">
        <v>21.05</v>
      </c>
      <c r="AV24">
        <v>7768.0479999999998</v>
      </c>
      <c r="AW24" s="2">
        <v>-0.1356</v>
      </c>
      <c r="AX24">
        <v>-2.2839999999999998</v>
      </c>
      <c r="AY24">
        <v>242.239</v>
      </c>
      <c r="AZ24">
        <v>14.561</v>
      </c>
      <c r="BA24" s="2">
        <v>3.7170000000000002E-2</v>
      </c>
      <c r="BB24" s="2">
        <v>0.14682999999999999</v>
      </c>
      <c r="BC24">
        <v>43.71</v>
      </c>
      <c r="BD24" s="2">
        <v>1.038E-2</v>
      </c>
      <c r="BE24">
        <v>0.67500000000000004</v>
      </c>
      <c r="BF24">
        <v>171.61699999999999</v>
      </c>
      <c r="BG24">
        <v>965.58799999999997</v>
      </c>
      <c r="BH24">
        <v>58.04</v>
      </c>
      <c r="BI24">
        <v>2855.12</v>
      </c>
      <c r="BJ24" s="2">
        <v>0.10249000000000001</v>
      </c>
      <c r="BK24" s="2">
        <v>5.3970000000000004E-2</v>
      </c>
      <c r="BL24" s="2">
        <v>1.6500000000000001E-2</v>
      </c>
      <c r="BM24">
        <v>13.807</v>
      </c>
      <c r="BN24">
        <v>1428.8019999999999</v>
      </c>
      <c r="BO24">
        <v>8495.6460000000006</v>
      </c>
      <c r="BP24">
        <v>510.66</v>
      </c>
      <c r="BQ24">
        <v>23770.416000000001</v>
      </c>
      <c r="BR24" s="2">
        <v>0.90174999999999994</v>
      </c>
      <c r="BS24" s="2">
        <v>0.44929000000000002</v>
      </c>
      <c r="BT24">
        <v>-61.91</v>
      </c>
      <c r="BU24" s="2">
        <v>-0.12273999999999999</v>
      </c>
      <c r="BV24" s="2">
        <v>1.626E-2</v>
      </c>
      <c r="BW24">
        <v>12.010999999999999</v>
      </c>
      <c r="BX24">
        <v>1239.4860000000001</v>
      </c>
      <c r="BY24">
        <v>7457</v>
      </c>
      <c r="BZ24">
        <v>448</v>
      </c>
      <c r="CA24">
        <v>20620.828000000001</v>
      </c>
      <c r="CB24" s="2">
        <v>0.79</v>
      </c>
      <c r="CC24" s="2">
        <v>0.38976</v>
      </c>
      <c r="CD24" s="2">
        <v>8.7200000000000003E-3</v>
      </c>
      <c r="CE24">
        <v>9.7360000000000007</v>
      </c>
      <c r="CF24">
        <v>1126.701</v>
      </c>
      <c r="CG24">
        <v>170.02600000000001</v>
      </c>
      <c r="CH24">
        <v>10.220000000000001</v>
      </c>
      <c r="CI24">
        <v>18744.473000000002</v>
      </c>
      <c r="CJ24" s="2">
        <v>-3.1960000000000002E-2</v>
      </c>
      <c r="CK24">
        <v>-0.56299999999999994</v>
      </c>
      <c r="CL24">
        <v>283.72500000000002</v>
      </c>
      <c r="CM24">
        <v>17.053999999999998</v>
      </c>
      <c r="CN24" s="2">
        <v>1.805E-2</v>
      </c>
      <c r="CO24" s="2">
        <v>0.35428999999999999</v>
      </c>
      <c r="CP24">
        <v>12.073</v>
      </c>
      <c r="CQ24">
        <v>3.78</v>
      </c>
      <c r="CR24">
        <v>0.47</v>
      </c>
      <c r="CS24" s="2">
        <v>1.7490000000000002E-2</v>
      </c>
      <c r="CT24">
        <v>0.20699999999999999</v>
      </c>
      <c r="CU24">
        <v>63</v>
      </c>
      <c r="CV24">
        <v>8</v>
      </c>
      <c r="CW24">
        <v>200.852</v>
      </c>
      <c r="CX24" s="2">
        <v>6.6700000000000006E-3</v>
      </c>
      <c r="CY24" s="2">
        <v>8.3000000000000001E-4</v>
      </c>
      <c r="CZ24" s="2">
        <v>3.8E-3</v>
      </c>
      <c r="DA24">
        <v>9421.3070000000007</v>
      </c>
      <c r="DB24">
        <v>3180.13</v>
      </c>
      <c r="DC24" s="2">
        <v>1.813E-2</v>
      </c>
      <c r="DD24">
        <v>1.796</v>
      </c>
      <c r="DE24">
        <v>189.31700000000001</v>
      </c>
      <c r="DF24">
        <v>1038.4570000000001</v>
      </c>
      <c r="DG24">
        <v>62.42</v>
      </c>
      <c r="DH24">
        <v>3149.5880000000002</v>
      </c>
      <c r="DI24" s="2">
        <v>0.11022</v>
      </c>
      <c r="DJ24" s="2">
        <v>5.953E-2</v>
      </c>
      <c r="DK24" s="2">
        <v>8.763E-2</v>
      </c>
      <c r="DL24">
        <v>2E-3</v>
      </c>
      <c r="DM24">
        <v>2.4E-2</v>
      </c>
      <c r="DN24">
        <v>0.16600000000000001</v>
      </c>
      <c r="DO24">
        <v>0.01</v>
      </c>
      <c r="DP24">
        <v>0.40500000000000003</v>
      </c>
      <c r="DQ24" s="2">
        <v>2.0000000000000002E-5</v>
      </c>
      <c r="DR24" s="2">
        <v>1.0000000000000001E-5</v>
      </c>
      <c r="DS24" s="2">
        <v>0.53351000000000004</v>
      </c>
      <c r="DT24">
        <v>0.58899999999999997</v>
      </c>
      <c r="DU24">
        <v>1.7150000000000001</v>
      </c>
      <c r="DV24">
        <v>10</v>
      </c>
      <c r="DW24">
        <v>0.59</v>
      </c>
      <c r="DX24">
        <v>28.524999999999999</v>
      </c>
      <c r="DY24" s="2">
        <v>1.0399999999999999E-3</v>
      </c>
      <c r="DZ24" s="2">
        <v>5.4000000000000001E-4</v>
      </c>
    </row>
    <row r="25" spans="1:130" x14ac:dyDescent="0.3">
      <c r="A25" t="s">
        <v>165</v>
      </c>
      <c r="B25">
        <v>2004</v>
      </c>
      <c r="C25" t="s">
        <v>168</v>
      </c>
      <c r="D25" s="1">
        <v>81266672</v>
      </c>
      <c r="E25" s="1">
        <v>2894624980992</v>
      </c>
      <c r="F25" s="1">
        <v>2894624.9809920001</v>
      </c>
      <c r="G25" s="2">
        <v>0.33295000000000002</v>
      </c>
      <c r="H25">
        <v>2.6970000000000001</v>
      </c>
      <c r="I25">
        <v>132.839</v>
      </c>
      <c r="J25">
        <v>10.795</v>
      </c>
      <c r="K25">
        <v>131</v>
      </c>
      <c r="L25">
        <v>10.64</v>
      </c>
      <c r="M25" s="2">
        <v>1.745E-2</v>
      </c>
      <c r="N25" s="2">
        <v>2.6900000000000001E-3</v>
      </c>
      <c r="O25">
        <v>554.65899999999999</v>
      </c>
      <c r="P25" s="2">
        <v>-2.5169999999999998E-2</v>
      </c>
      <c r="Q25">
        <v>-25.51</v>
      </c>
      <c r="R25">
        <v>12158.858</v>
      </c>
      <c r="S25">
        <v>988.11</v>
      </c>
      <c r="T25">
        <v>3676.415</v>
      </c>
      <c r="U25">
        <v>298.77</v>
      </c>
      <c r="V25" s="2">
        <v>1.0629999999999999E-2</v>
      </c>
      <c r="W25">
        <v>7.1440000000000001</v>
      </c>
      <c r="X25">
        <v>8359.4500000000007</v>
      </c>
      <c r="Y25">
        <v>679.34500000000003</v>
      </c>
      <c r="Z25" s="2">
        <v>0.49011000000000005</v>
      </c>
      <c r="AA25" s="2">
        <v>0.24642</v>
      </c>
      <c r="AB25">
        <v>606.98</v>
      </c>
      <c r="AC25">
        <v>609.6</v>
      </c>
      <c r="AD25" s="2">
        <v>0.16921</v>
      </c>
      <c r="AE25" s="2">
        <v>-1.4000000000000001E-4</v>
      </c>
      <c r="AF25">
        <v>-0.57799999999999996</v>
      </c>
      <c r="AG25">
        <v>49342.406000000003</v>
      </c>
      <c r="AH25">
        <v>1.385</v>
      </c>
      <c r="AI25" s="2">
        <v>-1.123E-2</v>
      </c>
      <c r="AJ25">
        <v>-38.246000000000002</v>
      </c>
      <c r="AK25">
        <v>4732.0749999999998</v>
      </c>
      <c r="AL25">
        <v>384.56</v>
      </c>
      <c r="AM25">
        <v>41429.167999999998</v>
      </c>
      <c r="AN25">
        <v>3366.8110000000001</v>
      </c>
      <c r="AO25" s="2">
        <v>0.63084000000000007</v>
      </c>
      <c r="AP25" s="2">
        <v>0.83962999999999999</v>
      </c>
      <c r="AQ25" s="2">
        <v>5.0800000000000003E-3</v>
      </c>
      <c r="AR25">
        <v>4.4909999999999997</v>
      </c>
      <c r="AS25">
        <v>888.21100000000001</v>
      </c>
      <c r="AT25">
        <v>771</v>
      </c>
      <c r="AU25">
        <v>62.67</v>
      </c>
      <c r="AV25">
        <v>10929.579</v>
      </c>
      <c r="AW25" s="2">
        <v>-7.4649999999999994E-2</v>
      </c>
      <c r="AX25">
        <v>-13.821</v>
      </c>
      <c r="AY25">
        <v>2108.308</v>
      </c>
      <c r="AZ25">
        <v>171.33500000000001</v>
      </c>
      <c r="BA25" s="2">
        <v>0.10281000000000001</v>
      </c>
      <c r="BB25" s="2">
        <v>0.22149999999999997</v>
      </c>
      <c r="BC25">
        <v>338.12</v>
      </c>
      <c r="BD25" s="2">
        <v>0.13233</v>
      </c>
      <c r="BE25">
        <v>6.6479999999999997</v>
      </c>
      <c r="BF25">
        <v>59.781999999999996</v>
      </c>
      <c r="BG25">
        <v>255.33199999999999</v>
      </c>
      <c r="BH25">
        <v>20.75</v>
      </c>
      <c r="BI25">
        <v>735.62699999999995</v>
      </c>
      <c r="BJ25" s="2">
        <v>3.4040000000000001E-2</v>
      </c>
      <c r="BK25" s="2">
        <v>1.4910000000000001E-2</v>
      </c>
      <c r="BL25" s="2">
        <v>7.2730000000000003E-2</v>
      </c>
      <c r="BM25">
        <v>37.667999999999999</v>
      </c>
      <c r="BN25">
        <v>643.08199999999999</v>
      </c>
      <c r="BO25">
        <v>2769.1550000000002</v>
      </c>
      <c r="BP25">
        <v>225.04</v>
      </c>
      <c r="BQ25">
        <v>7913.2370000000001</v>
      </c>
      <c r="BR25" s="2">
        <v>0.36915999999999999</v>
      </c>
      <c r="BS25" s="2">
        <v>0.16036999999999998</v>
      </c>
      <c r="BT25">
        <v>-2.62</v>
      </c>
      <c r="BU25" s="2">
        <v>-4.3200000000000001E-3</v>
      </c>
      <c r="BV25" s="2">
        <v>1.2150000000000001E-2</v>
      </c>
      <c r="BW25">
        <v>2.6179999999999999</v>
      </c>
      <c r="BX25">
        <v>461.97199999999998</v>
      </c>
      <c r="BY25">
        <v>2056</v>
      </c>
      <c r="BZ25">
        <v>167</v>
      </c>
      <c r="CA25">
        <v>5684.6390000000001</v>
      </c>
      <c r="CB25" s="2">
        <v>0.27</v>
      </c>
      <c r="CC25" s="2">
        <v>0.11521000000000001</v>
      </c>
      <c r="CD25" s="2">
        <v>-1.1430000000000001E-2</v>
      </c>
      <c r="CE25">
        <v>-17.227</v>
      </c>
      <c r="CF25">
        <v>1490.49</v>
      </c>
      <c r="CG25">
        <v>284.495</v>
      </c>
      <c r="CH25">
        <v>23.12</v>
      </c>
      <c r="CI25">
        <v>18340.73</v>
      </c>
      <c r="CJ25" s="2">
        <v>-5.8250000000000003E-2</v>
      </c>
      <c r="CK25">
        <v>-2.6720000000000002</v>
      </c>
      <c r="CL25">
        <v>531.57799999999997</v>
      </c>
      <c r="CM25">
        <v>43.2</v>
      </c>
      <c r="CN25" s="2">
        <v>3.7929999999999998E-2</v>
      </c>
      <c r="CO25" s="2">
        <v>0.37170000000000003</v>
      </c>
      <c r="CP25">
        <v>33.951000000000001</v>
      </c>
      <c r="CQ25">
        <v>10.64</v>
      </c>
      <c r="CR25">
        <v>0</v>
      </c>
      <c r="CS25" s="2">
        <v>0.1885</v>
      </c>
      <c r="CT25">
        <v>5.3849999999999998</v>
      </c>
      <c r="CU25">
        <v>131</v>
      </c>
      <c r="CV25">
        <v>0</v>
      </c>
      <c r="CW25">
        <v>417.76799999999997</v>
      </c>
      <c r="CX25" s="2">
        <v>1.745E-2</v>
      </c>
      <c r="CY25" s="2">
        <v>0</v>
      </c>
      <c r="CZ25" s="2">
        <v>8.4700000000000001E-3</v>
      </c>
      <c r="DA25">
        <v>7501.2290000000003</v>
      </c>
      <c r="DB25">
        <v>4009.893</v>
      </c>
      <c r="DC25" s="2">
        <v>0.25533</v>
      </c>
      <c r="DD25">
        <v>35.049999999999997</v>
      </c>
      <c r="DE25">
        <v>181.11099999999999</v>
      </c>
      <c r="DF25">
        <v>713.33100000000002</v>
      </c>
      <c r="DG25">
        <v>57.97</v>
      </c>
      <c r="DH25">
        <v>2228.598</v>
      </c>
      <c r="DI25" s="2">
        <v>9.5100000000000004E-2</v>
      </c>
      <c r="DJ25" s="2">
        <v>4.5170000000000002E-2</v>
      </c>
      <c r="DK25" s="2">
        <v>0.77954999999999997</v>
      </c>
      <c r="DL25">
        <v>0.69699999999999995</v>
      </c>
      <c r="DM25">
        <v>1.605</v>
      </c>
      <c r="DN25">
        <v>6.891</v>
      </c>
      <c r="DO25">
        <v>0.56000000000000005</v>
      </c>
      <c r="DP25">
        <v>19.751000000000001</v>
      </c>
      <c r="DQ25" s="2">
        <v>9.2000000000000003E-4</v>
      </c>
      <c r="DR25" s="2">
        <v>4.0000000000000002E-4</v>
      </c>
      <c r="DS25" s="2">
        <v>0.36318</v>
      </c>
      <c r="DT25">
        <v>19.623000000000001</v>
      </c>
      <c r="DU25">
        <v>74.977999999999994</v>
      </c>
      <c r="DV25">
        <v>320</v>
      </c>
      <c r="DW25">
        <v>26.02</v>
      </c>
      <c r="DX25">
        <v>922.61300000000006</v>
      </c>
      <c r="DY25" s="2">
        <v>4.2679999999999996E-2</v>
      </c>
      <c r="DZ25" s="2">
        <v>1.8700000000000001E-2</v>
      </c>
    </row>
    <row r="26" spans="1:130" x14ac:dyDescent="0.3">
      <c r="A26" t="s">
        <v>166</v>
      </c>
      <c r="B26">
        <v>2005</v>
      </c>
      <c r="C26" t="s">
        <v>167</v>
      </c>
      <c r="D26" s="1">
        <v>60510080</v>
      </c>
      <c r="E26" s="1">
        <v>2238790500352</v>
      </c>
      <c r="F26" s="1">
        <v>2238790.5003519999</v>
      </c>
      <c r="G26" s="2">
        <v>0.69318999999999997</v>
      </c>
      <c r="H26">
        <v>2.6949999999999998</v>
      </c>
      <c r="I26">
        <v>108.79900000000001</v>
      </c>
      <c r="J26">
        <v>6.5830000000000002</v>
      </c>
      <c r="K26">
        <v>56</v>
      </c>
      <c r="L26">
        <v>3.39</v>
      </c>
      <c r="M26" s="2">
        <v>5.96E-3</v>
      </c>
      <c r="N26" s="2">
        <v>2.0899999999999998E-3</v>
      </c>
      <c r="O26">
        <v>85.533000000000001</v>
      </c>
      <c r="P26" s="2">
        <v>3.184E-2</v>
      </c>
      <c r="Q26">
        <v>5.0209999999999999</v>
      </c>
      <c r="R26">
        <v>2689.1689999999999</v>
      </c>
      <c r="S26">
        <v>162.72200000000001</v>
      </c>
      <c r="T26">
        <v>454.63499999999999</v>
      </c>
      <c r="U26">
        <v>27.51</v>
      </c>
      <c r="V26" s="2">
        <v>-1</v>
      </c>
      <c r="W26">
        <v>-1.214</v>
      </c>
      <c r="X26">
        <v>0</v>
      </c>
      <c r="Y26">
        <v>0</v>
      </c>
      <c r="Z26" s="2">
        <v>4.8339999999999994E-2</v>
      </c>
      <c r="AA26" s="2">
        <v>5.1589999999999997E-2</v>
      </c>
      <c r="AB26">
        <v>508.81</v>
      </c>
      <c r="AC26">
        <v>569.14</v>
      </c>
      <c r="AD26" s="2">
        <v>0.25213000000000002</v>
      </c>
      <c r="AE26" s="2">
        <v>-8.1899999999999994E-3</v>
      </c>
      <c r="AF26">
        <v>-26.050999999999998</v>
      </c>
      <c r="AG26">
        <v>52124.855000000003</v>
      </c>
      <c r="AH26">
        <v>1.409</v>
      </c>
      <c r="AI26" s="2">
        <v>-4.0300000000000006E-3</v>
      </c>
      <c r="AJ26">
        <v>-7.0609999999999999</v>
      </c>
      <c r="AK26">
        <v>1035.0340000000001</v>
      </c>
      <c r="AL26">
        <v>62.63</v>
      </c>
      <c r="AM26">
        <v>28826.055</v>
      </c>
      <c r="AN26">
        <v>1744.2670000000001</v>
      </c>
      <c r="AO26" s="2">
        <v>0.11004</v>
      </c>
      <c r="AP26" s="2">
        <v>0.55301999999999996</v>
      </c>
      <c r="AQ26" s="2">
        <v>2.1850000000000001E-2</v>
      </c>
      <c r="AR26">
        <v>10.201000000000001</v>
      </c>
      <c r="AS26">
        <v>477.12599999999998</v>
      </c>
      <c r="AT26">
        <v>381</v>
      </c>
      <c r="AU26">
        <v>23.07</v>
      </c>
      <c r="AV26">
        <v>7885.0619999999999</v>
      </c>
      <c r="AW26" s="2">
        <v>-0.19248000000000001</v>
      </c>
      <c r="AX26">
        <v>-2.8029999999999999</v>
      </c>
      <c r="AY26">
        <v>194.31399999999999</v>
      </c>
      <c r="AZ26">
        <v>11.757999999999999</v>
      </c>
      <c r="BA26" s="2">
        <v>4.0529999999999997E-2</v>
      </c>
      <c r="BB26" s="2">
        <v>0.15127000000000002</v>
      </c>
      <c r="BC26">
        <v>48.68</v>
      </c>
      <c r="BD26" s="2">
        <v>-0.13558999999999999</v>
      </c>
      <c r="BE26">
        <v>-24.207999999999998</v>
      </c>
      <c r="BF26">
        <v>147.40899999999999</v>
      </c>
      <c r="BG26">
        <v>828.62199999999996</v>
      </c>
      <c r="BH26">
        <v>50.14</v>
      </c>
      <c r="BI26">
        <v>2436.0990000000002</v>
      </c>
      <c r="BJ26" s="2">
        <v>8.8100000000000012E-2</v>
      </c>
      <c r="BK26" s="2">
        <v>4.6740000000000004E-2</v>
      </c>
      <c r="BL26" s="2">
        <v>-3.16E-3</v>
      </c>
      <c r="BM26">
        <v>-18.989999999999998</v>
      </c>
      <c r="BN26">
        <v>1409.8119999999999</v>
      </c>
      <c r="BO26">
        <v>8370.6720000000005</v>
      </c>
      <c r="BP26">
        <v>506.51</v>
      </c>
      <c r="BQ26">
        <v>23298.798999999999</v>
      </c>
      <c r="BR26" s="2">
        <v>0.88995999999999997</v>
      </c>
      <c r="BS26" s="2">
        <v>0.44697999999999999</v>
      </c>
      <c r="BT26">
        <v>-60.33</v>
      </c>
      <c r="BU26" s="2">
        <v>-0.11856999999999999</v>
      </c>
      <c r="BV26" s="2">
        <v>7.3400000000000002E-3</v>
      </c>
      <c r="BW26">
        <v>1.19</v>
      </c>
      <c r="BX26">
        <v>1240.675</v>
      </c>
      <c r="BY26">
        <v>7462</v>
      </c>
      <c r="BZ26">
        <v>452</v>
      </c>
      <c r="CA26">
        <v>20503.613000000001</v>
      </c>
      <c r="CB26" s="2">
        <v>0.79</v>
      </c>
      <c r="CC26" s="2">
        <v>0.39335999999999999</v>
      </c>
      <c r="CD26" s="2">
        <v>-1.9779999999999999E-2</v>
      </c>
      <c r="CE26">
        <v>-22.282</v>
      </c>
      <c r="CF26">
        <v>1104.4190000000001</v>
      </c>
      <c r="CG26">
        <v>199.14</v>
      </c>
      <c r="CH26">
        <v>12.05</v>
      </c>
      <c r="CI26">
        <v>18251.824000000001</v>
      </c>
      <c r="CJ26" s="2">
        <v>-0.13125000000000001</v>
      </c>
      <c r="CK26">
        <v>-2.238</v>
      </c>
      <c r="CL26">
        <v>244.851</v>
      </c>
      <c r="CM26">
        <v>14.816000000000001</v>
      </c>
      <c r="CN26" s="2">
        <v>2.1170000000000001E-2</v>
      </c>
      <c r="CO26" s="2">
        <v>0.35015999999999997</v>
      </c>
      <c r="CP26">
        <v>12.36</v>
      </c>
      <c r="CQ26">
        <v>3.87</v>
      </c>
      <c r="CR26">
        <v>0.48</v>
      </c>
      <c r="CS26" s="2">
        <v>2.3799999999999998E-2</v>
      </c>
      <c r="CT26">
        <v>0.28699999999999998</v>
      </c>
      <c r="CU26">
        <v>64</v>
      </c>
      <c r="CV26">
        <v>8</v>
      </c>
      <c r="CW26">
        <v>204.267</v>
      </c>
      <c r="CX26" s="2">
        <v>6.8000000000000005E-3</v>
      </c>
      <c r="CY26" s="2">
        <v>8.4000000000000003E-4</v>
      </c>
      <c r="CZ26" s="2">
        <v>3.9199999999999999E-3</v>
      </c>
      <c r="DA26">
        <v>9405.7049999999999</v>
      </c>
      <c r="DB26">
        <v>3154.0790000000002</v>
      </c>
      <c r="DC26" s="2">
        <v>-7.2550000000000003E-2</v>
      </c>
      <c r="DD26">
        <v>-20.18</v>
      </c>
      <c r="DE26">
        <v>169.137</v>
      </c>
      <c r="DF26">
        <v>908.60900000000004</v>
      </c>
      <c r="DG26">
        <v>54.98</v>
      </c>
      <c r="DH26">
        <v>2795.1840000000002</v>
      </c>
      <c r="DI26" s="2">
        <v>9.6600000000000005E-2</v>
      </c>
      <c r="DJ26" s="2">
        <v>5.3620000000000001E-2</v>
      </c>
      <c r="DK26" s="2">
        <v>0.24298999999999998</v>
      </c>
      <c r="DL26">
        <v>6.0000000000000001E-3</v>
      </c>
      <c r="DM26">
        <v>0.03</v>
      </c>
      <c r="DN26">
        <v>0.16500000000000001</v>
      </c>
      <c r="DO26">
        <v>0.01</v>
      </c>
      <c r="DP26">
        <v>0.497</v>
      </c>
      <c r="DQ26" s="2">
        <v>2.0000000000000002E-5</v>
      </c>
      <c r="DR26" s="2">
        <v>1.0000000000000001E-5</v>
      </c>
      <c r="DS26" s="2">
        <v>0.61680999999999997</v>
      </c>
      <c r="DT26">
        <v>1.04</v>
      </c>
      <c r="DU26">
        <v>2.7549999999999999</v>
      </c>
      <c r="DV26">
        <v>16</v>
      </c>
      <c r="DW26">
        <v>0.96</v>
      </c>
      <c r="DX26">
        <v>45.523000000000003</v>
      </c>
      <c r="DY26" s="2">
        <v>1.6900000000000001E-3</v>
      </c>
      <c r="DZ26" s="2">
        <v>8.699999999999999E-4</v>
      </c>
    </row>
    <row r="27" spans="1:130" x14ac:dyDescent="0.3">
      <c r="A27" t="s">
        <v>165</v>
      </c>
      <c r="B27">
        <v>2005</v>
      </c>
      <c r="C27" t="s">
        <v>168</v>
      </c>
      <c r="D27" s="1">
        <v>81212168</v>
      </c>
      <c r="E27" s="1">
        <v>2945460994048</v>
      </c>
      <c r="F27" s="1">
        <v>2945460.9940479998</v>
      </c>
      <c r="G27" s="2">
        <v>0.84706999999999999</v>
      </c>
      <c r="H27">
        <v>9.1440000000000001</v>
      </c>
      <c r="I27">
        <v>245.52799999999999</v>
      </c>
      <c r="J27">
        <v>19.940000000000001</v>
      </c>
      <c r="K27">
        <v>181</v>
      </c>
      <c r="L27">
        <v>14.71</v>
      </c>
      <c r="M27" s="2">
        <v>2.3980000000000001E-2</v>
      </c>
      <c r="N27" s="2">
        <v>5.0299999999999997E-3</v>
      </c>
      <c r="O27">
        <v>546.27099999999996</v>
      </c>
      <c r="P27" s="2">
        <v>-4.3240000000000001E-2</v>
      </c>
      <c r="Q27">
        <v>-42.722999999999999</v>
      </c>
      <c r="R27">
        <v>11640.955</v>
      </c>
      <c r="S27">
        <v>945.38699999999994</v>
      </c>
      <c r="T27">
        <v>3547.99</v>
      </c>
      <c r="U27">
        <v>288.14</v>
      </c>
      <c r="V27" s="2">
        <v>-3.1519999999999999E-2</v>
      </c>
      <c r="W27">
        <v>-21.414000000000001</v>
      </c>
      <c r="X27">
        <v>8101.3810000000003</v>
      </c>
      <c r="Y27">
        <v>657.93100000000004</v>
      </c>
      <c r="Z27" s="2">
        <v>0.46978999999999999</v>
      </c>
      <c r="AA27" s="2">
        <v>0.23858000000000001</v>
      </c>
      <c r="AB27">
        <v>608.77</v>
      </c>
      <c r="AC27">
        <v>613.34</v>
      </c>
      <c r="AD27" s="2">
        <v>0.17254000000000003</v>
      </c>
      <c r="AE27" s="2">
        <v>-1.179E-2</v>
      </c>
      <c r="AF27">
        <v>-47.258000000000003</v>
      </c>
      <c r="AG27">
        <v>48793.612999999998</v>
      </c>
      <c r="AH27">
        <v>1.345</v>
      </c>
      <c r="AI27" s="2">
        <v>-1.7390000000000003E-2</v>
      </c>
      <c r="AJ27">
        <v>-58.555</v>
      </c>
      <c r="AK27">
        <v>4763.5720000000001</v>
      </c>
      <c r="AL27">
        <v>386.86</v>
      </c>
      <c r="AM27">
        <v>40735.957000000002</v>
      </c>
      <c r="AN27">
        <v>3308.2550000000001</v>
      </c>
      <c r="AO27" s="2">
        <v>0.63073999999999997</v>
      </c>
      <c r="AP27" s="2">
        <v>0.83486000000000005</v>
      </c>
      <c r="AQ27" s="2">
        <v>1.644E-2</v>
      </c>
      <c r="AR27">
        <v>14.6</v>
      </c>
      <c r="AS27">
        <v>902.81</v>
      </c>
      <c r="AT27">
        <v>889</v>
      </c>
      <c r="AU27">
        <v>72.19</v>
      </c>
      <c r="AV27">
        <v>11116.689</v>
      </c>
      <c r="AW27" s="2">
        <v>-3.4479999999999997E-2</v>
      </c>
      <c r="AX27">
        <v>-5.9080000000000004</v>
      </c>
      <c r="AY27">
        <v>2036.97</v>
      </c>
      <c r="AZ27">
        <v>165.42699999999999</v>
      </c>
      <c r="BA27" s="2">
        <v>0.1177</v>
      </c>
      <c r="BB27" s="2">
        <v>0.22783</v>
      </c>
      <c r="BC27">
        <v>335.05</v>
      </c>
      <c r="BD27" s="2">
        <v>-5.3399999999999996E-2</v>
      </c>
      <c r="BE27">
        <v>-3.55</v>
      </c>
      <c r="BF27">
        <v>56.231999999999999</v>
      </c>
      <c r="BG27">
        <v>241.83600000000001</v>
      </c>
      <c r="BH27">
        <v>19.64</v>
      </c>
      <c r="BI27">
        <v>692.40499999999997</v>
      </c>
      <c r="BJ27" s="2">
        <v>3.202E-2</v>
      </c>
      <c r="BK27" s="2">
        <v>1.4190000000000001E-2</v>
      </c>
      <c r="BL27" s="2">
        <v>4.4900000000000002E-2</v>
      </c>
      <c r="BM27">
        <v>11.297000000000001</v>
      </c>
      <c r="BN27">
        <v>654.38</v>
      </c>
      <c r="BO27">
        <v>2788.7449999999999</v>
      </c>
      <c r="BP27">
        <v>226.48</v>
      </c>
      <c r="BQ27">
        <v>8057.6580000000004</v>
      </c>
      <c r="BR27" s="2">
        <v>0.36926000000000003</v>
      </c>
      <c r="BS27" s="2">
        <v>0.16513999999999998</v>
      </c>
      <c r="BT27">
        <v>-4.57</v>
      </c>
      <c r="BU27" s="2">
        <v>-7.5100000000000002E-3</v>
      </c>
      <c r="BV27" s="2">
        <v>-2.41E-2</v>
      </c>
      <c r="BW27">
        <v>-13.986000000000001</v>
      </c>
      <c r="BX27">
        <v>447.98599999999999</v>
      </c>
      <c r="BY27">
        <v>2008</v>
      </c>
      <c r="BZ27">
        <v>163</v>
      </c>
      <c r="CA27">
        <v>5516.2370000000001</v>
      </c>
      <c r="CB27" s="2">
        <v>0.27</v>
      </c>
      <c r="CC27" s="2">
        <v>0.11305</v>
      </c>
      <c r="CD27" s="2">
        <v>-2.0419999999999997E-2</v>
      </c>
      <c r="CE27">
        <v>-30.431999999999999</v>
      </c>
      <c r="CF27">
        <v>1460.058</v>
      </c>
      <c r="CG27">
        <v>326.67500000000001</v>
      </c>
      <c r="CH27">
        <v>26.53</v>
      </c>
      <c r="CI27">
        <v>17978.311000000002</v>
      </c>
      <c r="CJ27" s="2">
        <v>-1.7059999999999999E-2</v>
      </c>
      <c r="CK27">
        <v>-0.73699999999999999</v>
      </c>
      <c r="CL27">
        <v>522.86099999999999</v>
      </c>
      <c r="CM27">
        <v>42.463000000000001</v>
      </c>
      <c r="CN27" s="2">
        <v>4.3250000000000004E-2</v>
      </c>
      <c r="CO27" s="2">
        <v>0.36845999999999995</v>
      </c>
      <c r="CP27">
        <v>46.948999999999998</v>
      </c>
      <c r="CQ27">
        <v>14.71</v>
      </c>
      <c r="CR27">
        <v>0</v>
      </c>
      <c r="CS27" s="2">
        <v>0.38286000000000003</v>
      </c>
      <c r="CT27">
        <v>12.997999999999999</v>
      </c>
      <c r="CU27">
        <v>181</v>
      </c>
      <c r="CV27">
        <v>0</v>
      </c>
      <c r="CW27">
        <v>578.10199999999998</v>
      </c>
      <c r="CX27" s="2">
        <v>2.3980000000000001E-2</v>
      </c>
      <c r="CY27" s="2">
        <v>0</v>
      </c>
      <c r="CZ27" s="2">
        <v>1.1850000000000001E-2</v>
      </c>
      <c r="DA27">
        <v>7552.317</v>
      </c>
      <c r="DB27">
        <v>3962.6350000000002</v>
      </c>
      <c r="DC27" s="2">
        <v>0.21257000000000001</v>
      </c>
      <c r="DD27">
        <v>25.283999999999999</v>
      </c>
      <c r="DE27">
        <v>206.39400000000001</v>
      </c>
      <c r="DF27">
        <v>781.04100000000005</v>
      </c>
      <c r="DG27">
        <v>63.43</v>
      </c>
      <c r="DH27">
        <v>2541.4209999999998</v>
      </c>
      <c r="DI27" s="2">
        <v>0.10342000000000001</v>
      </c>
      <c r="DJ27" s="2">
        <v>5.2089999999999997E-2</v>
      </c>
      <c r="DK27" s="2">
        <v>1.34829</v>
      </c>
      <c r="DL27">
        <v>2.14</v>
      </c>
      <c r="DM27">
        <v>3.7450000000000001</v>
      </c>
      <c r="DN27">
        <v>16.131</v>
      </c>
      <c r="DO27">
        <v>1.31</v>
      </c>
      <c r="DP27">
        <v>46.118000000000002</v>
      </c>
      <c r="DQ27" s="2">
        <v>2.14E-3</v>
      </c>
      <c r="DR27" s="2">
        <v>9.5E-4</v>
      </c>
      <c r="DS27" s="2">
        <v>6.7449999999999996E-2</v>
      </c>
      <c r="DT27">
        <v>4.5510000000000002</v>
      </c>
      <c r="DU27">
        <v>79.528000000000006</v>
      </c>
      <c r="DV27">
        <v>342</v>
      </c>
      <c r="DW27">
        <v>27.77</v>
      </c>
      <c r="DX27">
        <v>979.26800000000003</v>
      </c>
      <c r="DY27" s="2">
        <v>4.5279999999999994E-2</v>
      </c>
      <c r="DZ27" s="2">
        <v>2.0070000000000001E-2</v>
      </c>
    </row>
    <row r="28" spans="1:130" x14ac:dyDescent="0.3">
      <c r="A28" t="s">
        <v>166</v>
      </c>
      <c r="B28">
        <v>2006</v>
      </c>
      <c r="C28" t="s">
        <v>167</v>
      </c>
      <c r="D28" s="1">
        <v>60919152</v>
      </c>
      <c r="E28" s="1">
        <v>2297018187776</v>
      </c>
      <c r="F28" s="1">
        <v>2297018.1877759998</v>
      </c>
      <c r="G28" s="2">
        <v>0.21103000000000002</v>
      </c>
      <c r="H28">
        <v>1.389</v>
      </c>
      <c r="I28">
        <v>130.874</v>
      </c>
      <c r="J28">
        <v>7.9729999999999999</v>
      </c>
      <c r="K28">
        <v>55</v>
      </c>
      <c r="L28">
        <v>3.38</v>
      </c>
      <c r="M28" s="2">
        <v>5.96E-3</v>
      </c>
      <c r="N28" s="2">
        <v>2.5500000000000002E-3</v>
      </c>
      <c r="O28">
        <v>76.572999999999993</v>
      </c>
      <c r="P28" s="2">
        <v>-7.5869999999999993E-2</v>
      </c>
      <c r="Q28">
        <v>-12.346</v>
      </c>
      <c r="R28">
        <v>2468.4450000000002</v>
      </c>
      <c r="S28">
        <v>150.376</v>
      </c>
      <c r="T28">
        <v>375.74400000000003</v>
      </c>
      <c r="U28">
        <v>22.89</v>
      </c>
      <c r="W28">
        <v>0</v>
      </c>
      <c r="X28">
        <v>0</v>
      </c>
      <c r="Y28">
        <v>0</v>
      </c>
      <c r="Z28" s="2">
        <v>4.0350000000000004E-2</v>
      </c>
      <c r="AA28" s="2">
        <v>4.8059999999999999E-2</v>
      </c>
      <c r="AB28">
        <v>503.96</v>
      </c>
      <c r="AC28">
        <v>567.29999999999995</v>
      </c>
      <c r="AD28" s="2">
        <v>0.25414999999999999</v>
      </c>
      <c r="AE28" s="2">
        <v>-7.9699999999999997E-3</v>
      </c>
      <c r="AF28">
        <v>-25.148</v>
      </c>
      <c r="AG28">
        <v>51362.02</v>
      </c>
      <c r="AH28">
        <v>1.3620000000000001</v>
      </c>
      <c r="AI28" s="2">
        <v>-1.7909999999999999E-2</v>
      </c>
      <c r="AJ28">
        <v>-31.236999999999998</v>
      </c>
      <c r="AK28">
        <v>922.53399999999999</v>
      </c>
      <c r="AL28">
        <v>56.2</v>
      </c>
      <c r="AM28">
        <v>28119.732</v>
      </c>
      <c r="AN28">
        <v>1713.03</v>
      </c>
      <c r="AO28" s="2">
        <v>9.9070000000000005E-2</v>
      </c>
      <c r="AP28" s="2">
        <v>0.54747999999999997</v>
      </c>
      <c r="AQ28" s="2">
        <v>-3.4209999999999997E-2</v>
      </c>
      <c r="AR28">
        <v>-16.32</v>
      </c>
      <c r="AS28">
        <v>460.80500000000001</v>
      </c>
      <c r="AT28">
        <v>357</v>
      </c>
      <c r="AU28">
        <v>21.76</v>
      </c>
      <c r="AV28">
        <v>7564.2139999999999</v>
      </c>
      <c r="AW28" s="2">
        <v>0.10316</v>
      </c>
      <c r="AX28">
        <v>1.2130000000000001</v>
      </c>
      <c r="AY28">
        <v>212.92</v>
      </c>
      <c r="AZ28">
        <v>12.971</v>
      </c>
      <c r="BA28" s="2">
        <v>3.8359999999999998E-2</v>
      </c>
      <c r="BB28" s="2">
        <v>0.14727000000000001</v>
      </c>
      <c r="BC28">
        <v>43.44</v>
      </c>
      <c r="BD28" s="2">
        <v>9.3689999999999996E-2</v>
      </c>
      <c r="BE28">
        <v>12.795999999999999</v>
      </c>
      <c r="BF28">
        <v>160.20500000000001</v>
      </c>
      <c r="BG28">
        <v>900.86599999999999</v>
      </c>
      <c r="BH28">
        <v>54.88</v>
      </c>
      <c r="BI28">
        <v>2629.7939999999999</v>
      </c>
      <c r="BJ28" s="2">
        <v>9.6739999999999993E-2</v>
      </c>
      <c r="BK28" s="2">
        <v>5.1200000000000002E-2</v>
      </c>
      <c r="BL28" s="2">
        <v>1.179E-2</v>
      </c>
      <c r="BM28">
        <v>6.0880000000000001</v>
      </c>
      <c r="BN28">
        <v>1415.9</v>
      </c>
      <c r="BO28">
        <v>8389.8080000000009</v>
      </c>
      <c r="BP28">
        <v>511.1</v>
      </c>
      <c r="BQ28">
        <v>23242.287</v>
      </c>
      <c r="BR28" s="2">
        <v>0.90093000000000001</v>
      </c>
      <c r="BS28" s="2">
        <v>0.45252000000000003</v>
      </c>
      <c r="BT28">
        <v>-63.34</v>
      </c>
      <c r="BU28" s="2">
        <v>-0.12567999999999999</v>
      </c>
      <c r="BV28" s="2">
        <v>-2.96E-3</v>
      </c>
      <c r="BW28">
        <v>-11.456</v>
      </c>
      <c r="BX28">
        <v>1229.2190000000001</v>
      </c>
      <c r="BY28">
        <v>7390</v>
      </c>
      <c r="BZ28">
        <v>450</v>
      </c>
      <c r="CA28">
        <v>20177.875</v>
      </c>
      <c r="CB28" s="2">
        <v>0.79</v>
      </c>
      <c r="CC28" s="2">
        <v>0.39285999999999999</v>
      </c>
      <c r="CD28" s="2">
        <v>-2.33E-3</v>
      </c>
      <c r="CE28">
        <v>-2.57</v>
      </c>
      <c r="CF28">
        <v>1101.8489999999999</v>
      </c>
      <c r="CG28">
        <v>189.596</v>
      </c>
      <c r="CH28">
        <v>11.55</v>
      </c>
      <c r="CI28">
        <v>18087.076000000001</v>
      </c>
      <c r="CJ28" s="2">
        <v>-5.6520000000000001E-2</v>
      </c>
      <c r="CK28">
        <v>-0.83699999999999997</v>
      </c>
      <c r="CL28">
        <v>229.46100000000001</v>
      </c>
      <c r="CM28">
        <v>13.978999999999999</v>
      </c>
      <c r="CN28" s="2">
        <v>2.036E-2</v>
      </c>
      <c r="CO28" s="2">
        <v>0.35215000000000002</v>
      </c>
      <c r="CP28">
        <v>12.260999999999999</v>
      </c>
      <c r="CQ28">
        <v>3.84</v>
      </c>
      <c r="CR28">
        <v>0.46</v>
      </c>
      <c r="CS28" s="2">
        <v>-8.0099999999999998E-3</v>
      </c>
      <c r="CT28">
        <v>-9.9000000000000005E-2</v>
      </c>
      <c r="CU28">
        <v>63</v>
      </c>
      <c r="CV28">
        <v>8</v>
      </c>
      <c r="CW28">
        <v>201.27099999999999</v>
      </c>
      <c r="CX28" s="2">
        <v>6.7700000000000008E-3</v>
      </c>
      <c r="CY28" s="2">
        <v>8.1000000000000006E-4</v>
      </c>
      <c r="CZ28" s="2">
        <v>3.9199999999999999E-3</v>
      </c>
      <c r="DA28">
        <v>9312.3430000000008</v>
      </c>
      <c r="DB28">
        <v>3128.931</v>
      </c>
      <c r="DC28" s="2">
        <v>0.11768000000000001</v>
      </c>
      <c r="DD28">
        <v>17.545000000000002</v>
      </c>
      <c r="DE28">
        <v>186.68100000000001</v>
      </c>
      <c r="DF28">
        <v>999.85</v>
      </c>
      <c r="DG28">
        <v>60.91</v>
      </c>
      <c r="DH28">
        <v>3064.4119999999998</v>
      </c>
      <c r="DI28" s="2">
        <v>0.10737000000000001</v>
      </c>
      <c r="DJ28" s="2">
        <v>5.9660000000000005E-2</v>
      </c>
      <c r="DK28" s="2">
        <v>0.13383</v>
      </c>
      <c r="DL28">
        <v>4.0000000000000001E-3</v>
      </c>
      <c r="DM28">
        <v>3.4000000000000002E-2</v>
      </c>
      <c r="DN28">
        <v>0.16400000000000001</v>
      </c>
      <c r="DO28">
        <v>0.01</v>
      </c>
      <c r="DP28">
        <v>0.55600000000000005</v>
      </c>
      <c r="DQ28" s="2">
        <v>2.0000000000000002E-5</v>
      </c>
      <c r="DR28" s="2">
        <v>1.0000000000000001E-5</v>
      </c>
      <c r="DS28" s="2">
        <v>1.2681899999999999</v>
      </c>
      <c r="DT28">
        <v>3.4540000000000002</v>
      </c>
      <c r="DU28">
        <v>6.2089999999999996</v>
      </c>
      <c r="DV28">
        <v>36</v>
      </c>
      <c r="DW28">
        <v>2.1800000000000002</v>
      </c>
      <c r="DX28">
        <v>101.917</v>
      </c>
      <c r="DY28" s="2">
        <v>3.8400000000000001E-3</v>
      </c>
      <c r="DZ28" s="2">
        <v>1.98E-3</v>
      </c>
    </row>
    <row r="29" spans="1:130" x14ac:dyDescent="0.3">
      <c r="A29" t="s">
        <v>165</v>
      </c>
      <c r="B29">
        <v>2006</v>
      </c>
      <c r="C29" t="s">
        <v>168</v>
      </c>
      <c r="D29" s="1">
        <v>81177816</v>
      </c>
      <c r="E29" s="1">
        <v>3086359199744</v>
      </c>
      <c r="F29" s="1">
        <v>3086359.1997440001</v>
      </c>
      <c r="G29" s="2">
        <v>0.59472999999999998</v>
      </c>
      <c r="H29">
        <v>11.859</v>
      </c>
      <c r="I29">
        <v>391.71699999999998</v>
      </c>
      <c r="J29">
        <v>31.798999999999999</v>
      </c>
      <c r="K29">
        <v>233</v>
      </c>
      <c r="L29">
        <v>18.940000000000001</v>
      </c>
      <c r="M29" s="2">
        <v>3.005E-2</v>
      </c>
      <c r="N29" s="2">
        <v>7.8300000000000002E-3</v>
      </c>
      <c r="O29">
        <v>536.16300000000001</v>
      </c>
      <c r="P29" s="2">
        <v>4.011E-2</v>
      </c>
      <c r="Q29">
        <v>37.923999999999999</v>
      </c>
      <c r="R29">
        <v>12113.054</v>
      </c>
      <c r="S29">
        <v>983.31100000000004</v>
      </c>
      <c r="T29">
        <v>3559.2240000000002</v>
      </c>
      <c r="U29">
        <v>288.93</v>
      </c>
      <c r="V29" s="2">
        <v>-5.6959999999999997E-2</v>
      </c>
      <c r="W29">
        <v>-37.476999999999997</v>
      </c>
      <c r="X29">
        <v>7643.1409999999996</v>
      </c>
      <c r="Y29">
        <v>620.45299999999997</v>
      </c>
      <c r="Z29" s="2">
        <v>0.45846999999999999</v>
      </c>
      <c r="AA29" s="2">
        <v>0.24204999999999999</v>
      </c>
      <c r="AB29">
        <v>613.22</v>
      </c>
      <c r="AC29">
        <v>630.20000000000005</v>
      </c>
      <c r="AD29" s="2">
        <v>0.17350000000000002</v>
      </c>
      <c r="AE29" s="2">
        <v>2.5169999999999998E-2</v>
      </c>
      <c r="AF29">
        <v>99.751999999999995</v>
      </c>
      <c r="AG29">
        <v>50043.065999999999</v>
      </c>
      <c r="AH29">
        <v>1.3160000000000001</v>
      </c>
      <c r="AI29" s="2">
        <v>1.583E-2</v>
      </c>
      <c r="AJ29">
        <v>52.362000000000002</v>
      </c>
      <c r="AK29">
        <v>4808.826</v>
      </c>
      <c r="AL29">
        <v>390.37</v>
      </c>
      <c r="AM29">
        <v>41398.222999999998</v>
      </c>
      <c r="AN29">
        <v>3360.6170000000002</v>
      </c>
      <c r="AO29" s="2">
        <v>0.61943999999999999</v>
      </c>
      <c r="AP29" s="2">
        <v>0.82724999999999993</v>
      </c>
      <c r="AQ29" s="2">
        <v>1.9119999999999998E-2</v>
      </c>
      <c r="AR29">
        <v>17.257999999999999</v>
      </c>
      <c r="AS29">
        <v>920.06899999999996</v>
      </c>
      <c r="AT29">
        <v>921</v>
      </c>
      <c r="AU29">
        <v>74.73</v>
      </c>
      <c r="AV29">
        <v>11333.994000000001</v>
      </c>
      <c r="AW29" s="2">
        <v>-1.2119999999999999E-2</v>
      </c>
      <c r="AX29">
        <v>-2.0049999999999999</v>
      </c>
      <c r="AY29">
        <v>2013.1369999999999</v>
      </c>
      <c r="AZ29">
        <v>163.422</v>
      </c>
      <c r="BA29" s="2">
        <v>0.11858</v>
      </c>
      <c r="BB29" s="2">
        <v>0.22647999999999999</v>
      </c>
      <c r="BC29">
        <v>337.89</v>
      </c>
      <c r="BD29" s="2">
        <v>2.001E-2</v>
      </c>
      <c r="BE29">
        <v>0.76500000000000001</v>
      </c>
      <c r="BF29">
        <v>56.996000000000002</v>
      </c>
      <c r="BG29">
        <v>246.74199999999999</v>
      </c>
      <c r="BH29">
        <v>20.03</v>
      </c>
      <c r="BI29">
        <v>702.11699999999996</v>
      </c>
      <c r="BJ29" s="2">
        <v>3.1780000000000003E-2</v>
      </c>
      <c r="BK29" s="2">
        <v>1.4030000000000001E-2</v>
      </c>
      <c r="BL29" s="2">
        <v>0.10269</v>
      </c>
      <c r="BM29">
        <v>47.39</v>
      </c>
      <c r="BN29">
        <v>701.77</v>
      </c>
      <c r="BO29">
        <v>2954.3789999999999</v>
      </c>
      <c r="BP29">
        <v>239.83</v>
      </c>
      <c r="BQ29">
        <v>8644.8459999999995</v>
      </c>
      <c r="BR29" s="2">
        <v>0.38055999999999995</v>
      </c>
      <c r="BS29" s="2">
        <v>0.17274999999999999</v>
      </c>
      <c r="BT29">
        <v>-16.98</v>
      </c>
      <c r="BU29" s="2">
        <v>-2.7690000000000003E-2</v>
      </c>
      <c r="BV29" s="2">
        <v>2.648E-2</v>
      </c>
      <c r="BW29">
        <v>8.9700000000000006</v>
      </c>
      <c r="BX29">
        <v>456.95499999999998</v>
      </c>
      <c r="BY29">
        <v>2061</v>
      </c>
      <c r="BZ29">
        <v>167</v>
      </c>
      <c r="CA29">
        <v>5629.0659999999998</v>
      </c>
      <c r="CB29" s="2">
        <v>0.27</v>
      </c>
      <c r="CC29" s="2">
        <v>0.11248</v>
      </c>
      <c r="CD29" s="2">
        <v>-1.9300000000000001E-3</v>
      </c>
      <c r="CE29">
        <v>-2.8210000000000002</v>
      </c>
      <c r="CF29">
        <v>1457.2370000000001</v>
      </c>
      <c r="CG29">
        <v>329.03100000000001</v>
      </c>
      <c r="CH29">
        <v>26.71</v>
      </c>
      <c r="CI29">
        <v>17951.173999999999</v>
      </c>
      <c r="CJ29" s="2">
        <v>9.3699999999999999E-3</v>
      </c>
      <c r="CK29">
        <v>0.39800000000000002</v>
      </c>
      <c r="CL29">
        <v>527.98599999999999</v>
      </c>
      <c r="CM29">
        <v>42.860999999999997</v>
      </c>
      <c r="CN29" s="2">
        <v>4.2380000000000001E-2</v>
      </c>
      <c r="CO29" s="2">
        <v>0.35871000000000003</v>
      </c>
      <c r="CP29">
        <v>60.445</v>
      </c>
      <c r="CQ29">
        <v>18.940000000000001</v>
      </c>
      <c r="CR29">
        <v>0</v>
      </c>
      <c r="CS29" s="2">
        <v>0.28745999999999999</v>
      </c>
      <c r="CT29">
        <v>13.496</v>
      </c>
      <c r="CU29">
        <v>233</v>
      </c>
      <c r="CV29">
        <v>0</v>
      </c>
      <c r="CW29">
        <v>744.601</v>
      </c>
      <c r="CX29" s="2">
        <v>3.005E-2</v>
      </c>
      <c r="CY29" s="2">
        <v>0</v>
      </c>
      <c r="CZ29" s="2">
        <v>1.4879999999999999E-2</v>
      </c>
      <c r="DA29">
        <v>7763.2049999999999</v>
      </c>
      <c r="DB29">
        <v>4062.3870000000002</v>
      </c>
      <c r="DC29" s="2">
        <v>0.25174000000000002</v>
      </c>
      <c r="DD29">
        <v>38.42</v>
      </c>
      <c r="DE29">
        <v>244.81399999999999</v>
      </c>
      <c r="DF29">
        <v>893.84</v>
      </c>
      <c r="DG29">
        <v>72.56</v>
      </c>
      <c r="DH29">
        <v>3015.78</v>
      </c>
      <c r="DI29" s="2">
        <v>0.11513999999999999</v>
      </c>
      <c r="DJ29" s="2">
        <v>6.0260000000000001E-2</v>
      </c>
      <c r="DK29" s="2">
        <v>0.73165000000000002</v>
      </c>
      <c r="DL29">
        <v>2.6989999999999998</v>
      </c>
      <c r="DM29">
        <v>6.4450000000000003</v>
      </c>
      <c r="DN29">
        <v>27.963000000000001</v>
      </c>
      <c r="DO29">
        <v>2.27</v>
      </c>
      <c r="DP29">
        <v>79.391999999999996</v>
      </c>
      <c r="DQ29" s="2">
        <v>3.5999999999999999E-3</v>
      </c>
      <c r="DR29" s="2">
        <v>1.5900000000000001E-3</v>
      </c>
      <c r="DS29" s="2">
        <v>0.12781999999999999</v>
      </c>
      <c r="DT29">
        <v>9.6010000000000009</v>
      </c>
      <c r="DU29">
        <v>89.129000000000005</v>
      </c>
      <c r="DV29">
        <v>386</v>
      </c>
      <c r="DW29">
        <v>31.32</v>
      </c>
      <c r="DX29">
        <v>1097.953</v>
      </c>
      <c r="DY29" s="2">
        <v>4.9699999999999994E-2</v>
      </c>
      <c r="DZ29" s="2">
        <v>2.1940000000000001E-2</v>
      </c>
    </row>
    <row r="30" spans="1:130" x14ac:dyDescent="0.3">
      <c r="A30" t="s">
        <v>166</v>
      </c>
      <c r="B30">
        <v>2007</v>
      </c>
      <c r="C30" t="s">
        <v>167</v>
      </c>
      <c r="D30" s="1">
        <v>61329380</v>
      </c>
      <c r="E30" s="1">
        <v>2354672041984</v>
      </c>
      <c r="F30" s="1">
        <v>2354672.0419839998</v>
      </c>
      <c r="G30" s="2">
        <v>1.0149599999999999</v>
      </c>
      <c r="H30">
        <v>8.0920000000000005</v>
      </c>
      <c r="I30">
        <v>261.94200000000001</v>
      </c>
      <c r="J30">
        <v>16.065000000000001</v>
      </c>
      <c r="K30">
        <v>61</v>
      </c>
      <c r="L30">
        <v>3.75</v>
      </c>
      <c r="M30" s="2">
        <v>6.6700000000000006E-3</v>
      </c>
      <c r="N30" s="2">
        <v>5.2199999999999998E-3</v>
      </c>
      <c r="O30">
        <v>80.111999999999995</v>
      </c>
      <c r="P30" s="2">
        <v>3.4450000000000001E-2</v>
      </c>
      <c r="Q30">
        <v>5.18</v>
      </c>
      <c r="R30">
        <v>2536.3910000000001</v>
      </c>
      <c r="S30">
        <v>155.55500000000001</v>
      </c>
      <c r="T30">
        <v>398.66699999999997</v>
      </c>
      <c r="U30">
        <v>24.45</v>
      </c>
      <c r="W30">
        <v>0</v>
      </c>
      <c r="X30">
        <v>0</v>
      </c>
      <c r="Y30">
        <v>0</v>
      </c>
      <c r="Z30" s="2">
        <v>4.3520000000000003E-2</v>
      </c>
      <c r="AA30" s="2">
        <v>5.0570000000000004E-2</v>
      </c>
      <c r="AB30">
        <v>505.03</v>
      </c>
      <c r="AC30">
        <v>561.84</v>
      </c>
      <c r="AD30" s="2">
        <v>0.25551999999999997</v>
      </c>
      <c r="AE30" s="2">
        <v>-1.6979999999999999E-2</v>
      </c>
      <c r="AF30">
        <v>-53.140999999999998</v>
      </c>
      <c r="AG30">
        <v>50151.976999999999</v>
      </c>
      <c r="AH30">
        <v>1.306</v>
      </c>
      <c r="AI30" s="2">
        <v>-2.0059999999999998E-2</v>
      </c>
      <c r="AJ30">
        <v>-34.356999999999999</v>
      </c>
      <c r="AK30">
        <v>942.61500000000001</v>
      </c>
      <c r="AL30">
        <v>57.81</v>
      </c>
      <c r="AM30">
        <v>27371.437999999998</v>
      </c>
      <c r="AN30">
        <v>1678.673</v>
      </c>
      <c r="AO30" s="2">
        <v>0.10289</v>
      </c>
      <c r="AP30" s="2">
        <v>0.54576999999999998</v>
      </c>
      <c r="AQ30" s="2">
        <v>-2.8639999999999999E-2</v>
      </c>
      <c r="AR30">
        <v>-13.196</v>
      </c>
      <c r="AS30">
        <v>447.60899999999998</v>
      </c>
      <c r="AT30">
        <v>359</v>
      </c>
      <c r="AU30">
        <v>21.99</v>
      </c>
      <c r="AV30">
        <v>7298.4470000000001</v>
      </c>
      <c r="AW30" s="2">
        <v>-0.10987999999999999</v>
      </c>
      <c r="AX30">
        <v>-1.425</v>
      </c>
      <c r="AY30">
        <v>188.25700000000001</v>
      </c>
      <c r="AZ30">
        <v>11.545999999999999</v>
      </c>
      <c r="BA30" s="2">
        <v>3.9140000000000001E-2</v>
      </c>
      <c r="BB30" s="2">
        <v>0.14553000000000002</v>
      </c>
      <c r="BC30">
        <v>45.01</v>
      </c>
      <c r="BD30" s="2">
        <v>2.3109999999999999E-2</v>
      </c>
      <c r="BE30">
        <v>2.677</v>
      </c>
      <c r="BF30">
        <v>162.88200000000001</v>
      </c>
      <c r="BG30">
        <v>912.93899999999996</v>
      </c>
      <c r="BH30">
        <v>55.99</v>
      </c>
      <c r="BI30">
        <v>2655.8609999999999</v>
      </c>
      <c r="BJ30" s="2">
        <v>9.9650000000000002E-2</v>
      </c>
      <c r="BK30" s="2">
        <v>5.296E-2</v>
      </c>
      <c r="BL30" s="2">
        <v>2.31E-3</v>
      </c>
      <c r="BM30">
        <v>-18.783999999999999</v>
      </c>
      <c r="BN30">
        <v>1397.116</v>
      </c>
      <c r="BO30">
        <v>8218.41</v>
      </c>
      <c r="BP30">
        <v>504.03</v>
      </c>
      <c r="BQ30">
        <v>22780.539000000001</v>
      </c>
      <c r="BR30" s="2">
        <v>0.89710999999999996</v>
      </c>
      <c r="BS30" s="2">
        <v>0.45423000000000002</v>
      </c>
      <c r="BT30">
        <v>-56.81</v>
      </c>
      <c r="BU30" s="2">
        <v>-0.11249000000000001</v>
      </c>
      <c r="BV30" s="2">
        <v>-2.3239999999999997E-2</v>
      </c>
      <c r="BW30">
        <v>-36.067</v>
      </c>
      <c r="BX30">
        <v>1193.152</v>
      </c>
      <c r="BY30">
        <v>7170</v>
      </c>
      <c r="BZ30">
        <v>440</v>
      </c>
      <c r="CA30">
        <v>19454.813999999998</v>
      </c>
      <c r="CB30" s="2">
        <v>0.78</v>
      </c>
      <c r="CC30" s="2">
        <v>0.38792000000000004</v>
      </c>
      <c r="CD30" s="2">
        <v>-2.3910000000000001E-2</v>
      </c>
      <c r="CE30">
        <v>-26.341000000000001</v>
      </c>
      <c r="CF30">
        <v>1075.509</v>
      </c>
      <c r="CG30">
        <v>185.392</v>
      </c>
      <c r="CH30">
        <v>11.37</v>
      </c>
      <c r="CI30">
        <v>17536.599999999999</v>
      </c>
      <c r="CJ30" s="2">
        <v>-7.4759999999999993E-2</v>
      </c>
      <c r="CK30">
        <v>-1.0449999999999999</v>
      </c>
      <c r="CL30">
        <v>210.887</v>
      </c>
      <c r="CM30">
        <v>12.933999999999999</v>
      </c>
      <c r="CN30" s="2">
        <v>2.0240000000000001E-2</v>
      </c>
      <c r="CO30" s="2">
        <v>0.34966999999999998</v>
      </c>
      <c r="CP30">
        <v>13.458</v>
      </c>
      <c r="CQ30">
        <v>4.22</v>
      </c>
      <c r="CR30">
        <v>0.47</v>
      </c>
      <c r="CS30" s="2">
        <v>9.7629999999999995E-2</v>
      </c>
      <c r="CT30">
        <v>1.1970000000000001</v>
      </c>
      <c r="CU30">
        <v>69</v>
      </c>
      <c r="CV30">
        <v>8</v>
      </c>
      <c r="CW30">
        <v>219.44300000000001</v>
      </c>
      <c r="CX30" s="2">
        <v>7.5100000000000002E-3</v>
      </c>
      <c r="CY30" s="2">
        <v>8.4000000000000003E-4</v>
      </c>
      <c r="CZ30" s="2">
        <v>4.3800000000000002E-3</v>
      </c>
      <c r="DA30">
        <v>9161.0249999999996</v>
      </c>
      <c r="DB30">
        <v>3075.79</v>
      </c>
      <c r="DC30" s="2">
        <v>0.16586999999999999</v>
      </c>
      <c r="DD30">
        <v>17.283000000000001</v>
      </c>
      <c r="DE30">
        <v>203.965</v>
      </c>
      <c r="DF30">
        <v>1048.4369999999999</v>
      </c>
      <c r="DG30">
        <v>64.3</v>
      </c>
      <c r="DH30">
        <v>3325.7249999999999</v>
      </c>
      <c r="DI30" s="2">
        <v>0.11445</v>
      </c>
      <c r="DJ30" s="2">
        <v>6.6310000000000008E-2</v>
      </c>
      <c r="DK30" s="2">
        <v>0.51183999999999996</v>
      </c>
      <c r="DL30">
        <v>1.7000000000000001E-2</v>
      </c>
      <c r="DM30">
        <v>5.0999999999999997E-2</v>
      </c>
      <c r="DN30">
        <v>0.32600000000000001</v>
      </c>
      <c r="DO30">
        <v>0.02</v>
      </c>
      <c r="DP30">
        <v>0.83</v>
      </c>
      <c r="DQ30" s="2">
        <v>4.0000000000000003E-5</v>
      </c>
      <c r="DR30" s="2">
        <v>2.0000000000000002E-5</v>
      </c>
      <c r="DS30" s="2">
        <v>0.86525999999999992</v>
      </c>
      <c r="DT30">
        <v>5.3</v>
      </c>
      <c r="DU30">
        <v>11.507999999999999</v>
      </c>
      <c r="DV30">
        <v>66</v>
      </c>
      <c r="DW30">
        <v>4.07</v>
      </c>
      <c r="DX30">
        <v>187.649</v>
      </c>
      <c r="DY30" s="2">
        <v>7.2399999999999999E-3</v>
      </c>
      <c r="DZ30" s="2">
        <v>3.7399999999999998E-3</v>
      </c>
    </row>
    <row r="31" spans="1:130" x14ac:dyDescent="0.3">
      <c r="A31" t="s">
        <v>165</v>
      </c>
      <c r="B31">
        <v>2007</v>
      </c>
      <c r="C31" t="s">
        <v>168</v>
      </c>
      <c r="D31" s="1">
        <v>81183832</v>
      </c>
      <c r="E31" s="1">
        <v>3220275724288</v>
      </c>
      <c r="F31" s="1">
        <v>3220275.7242879998</v>
      </c>
      <c r="G31" s="2">
        <v>0.13672000000000001</v>
      </c>
      <c r="H31">
        <v>4.3479999999999999</v>
      </c>
      <c r="I31">
        <v>445.24099999999999</v>
      </c>
      <c r="J31">
        <v>36.146000000000001</v>
      </c>
      <c r="K31">
        <v>303</v>
      </c>
      <c r="L31">
        <v>24.62</v>
      </c>
      <c r="M31" s="2">
        <v>3.9009999999999996E-2</v>
      </c>
      <c r="N31" s="2">
        <v>9.2800000000000001E-3</v>
      </c>
      <c r="O31">
        <v>551.78300000000002</v>
      </c>
      <c r="P31" s="2">
        <v>2.5399999999999999E-2</v>
      </c>
      <c r="Q31">
        <v>24.975999999999999</v>
      </c>
      <c r="R31">
        <v>12419.798000000001</v>
      </c>
      <c r="S31">
        <v>1008.287</v>
      </c>
      <c r="T31">
        <v>3659.596</v>
      </c>
      <c r="U31">
        <v>297.10000000000002</v>
      </c>
      <c r="V31" s="2">
        <v>1.9959999999999999E-2</v>
      </c>
      <c r="W31">
        <v>12.382</v>
      </c>
      <c r="X31">
        <v>7795.0969999999998</v>
      </c>
      <c r="Y31">
        <v>632.83600000000001</v>
      </c>
      <c r="Z31" s="2">
        <v>0.47076999999999997</v>
      </c>
      <c r="AA31" s="2">
        <v>0.25896999999999998</v>
      </c>
      <c r="AB31">
        <v>614.54</v>
      </c>
      <c r="AC31">
        <v>631.1</v>
      </c>
      <c r="AD31" s="2">
        <v>0.18134</v>
      </c>
      <c r="AE31" s="2">
        <v>-4.1589999999999995E-2</v>
      </c>
      <c r="AF31">
        <v>-168.964</v>
      </c>
      <c r="AG31">
        <v>47958.112999999998</v>
      </c>
      <c r="AH31">
        <v>1.2090000000000001</v>
      </c>
      <c r="AI31" s="2">
        <v>-4.36E-2</v>
      </c>
      <c r="AJ31">
        <v>-146.51</v>
      </c>
      <c r="AK31">
        <v>4941.0079999999998</v>
      </c>
      <c r="AL31">
        <v>401.13</v>
      </c>
      <c r="AM31">
        <v>39590.487999999998</v>
      </c>
      <c r="AN31">
        <v>3214.107</v>
      </c>
      <c r="AO31" s="2">
        <v>0.63560000000000005</v>
      </c>
      <c r="AP31" s="2">
        <v>0.82552000000000003</v>
      </c>
      <c r="AQ31" s="2">
        <v>-3.6639999999999999E-2</v>
      </c>
      <c r="AR31">
        <v>-33.707000000000001</v>
      </c>
      <c r="AS31">
        <v>886.36199999999997</v>
      </c>
      <c r="AT31">
        <v>954</v>
      </c>
      <c r="AU31">
        <v>77.45</v>
      </c>
      <c r="AV31">
        <v>10917.960999999999</v>
      </c>
      <c r="AW31" s="2">
        <v>-8.3979999999999999E-2</v>
      </c>
      <c r="AX31">
        <v>-13.725</v>
      </c>
      <c r="AY31">
        <v>1843.931</v>
      </c>
      <c r="AZ31">
        <v>149.697</v>
      </c>
      <c r="BA31" s="2">
        <v>0.12272</v>
      </c>
      <c r="BB31" s="2">
        <v>0.22765999999999997</v>
      </c>
      <c r="BC31">
        <v>348.23</v>
      </c>
      <c r="BD31" s="2">
        <v>5.6860000000000001E-2</v>
      </c>
      <c r="BE31">
        <v>2.8639999999999999</v>
      </c>
      <c r="BF31">
        <v>59.860999999999997</v>
      </c>
      <c r="BG31">
        <v>260.76600000000002</v>
      </c>
      <c r="BH31">
        <v>21.17</v>
      </c>
      <c r="BI31">
        <v>737.34799999999996</v>
      </c>
      <c r="BJ31" s="2">
        <v>3.354E-2</v>
      </c>
      <c r="BK31" s="2">
        <v>1.537E-2</v>
      </c>
      <c r="BL31" s="2">
        <v>-2.061E-2</v>
      </c>
      <c r="BM31">
        <v>-22.454000000000001</v>
      </c>
      <c r="BN31">
        <v>679.31600000000003</v>
      </c>
      <c r="BO31">
        <v>2832.7069999999999</v>
      </c>
      <c r="BP31">
        <v>229.97</v>
      </c>
      <c r="BQ31">
        <v>8367.6280000000006</v>
      </c>
      <c r="BR31" s="2">
        <v>0.3644</v>
      </c>
      <c r="BS31" s="2">
        <v>0.17448</v>
      </c>
      <c r="BT31">
        <v>-16.559999999999999</v>
      </c>
      <c r="BU31" s="2">
        <v>-2.6949999999999998E-2</v>
      </c>
      <c r="BV31" s="2">
        <v>-0.16027000000000002</v>
      </c>
      <c r="BW31">
        <v>-75.634</v>
      </c>
      <c r="BX31">
        <v>381.32100000000003</v>
      </c>
      <c r="BY31">
        <v>1731</v>
      </c>
      <c r="BZ31">
        <v>141</v>
      </c>
      <c r="CA31">
        <v>4697.009</v>
      </c>
      <c r="CB31" s="2">
        <v>0.22</v>
      </c>
      <c r="CC31" s="2">
        <v>9.7939999999999999E-2</v>
      </c>
      <c r="CD31" s="2">
        <v>-9.4549999999999995E-2</v>
      </c>
      <c r="CE31">
        <v>-137.77799999999999</v>
      </c>
      <c r="CF31">
        <v>1319.4590000000001</v>
      </c>
      <c r="CG31">
        <v>327.40499999999997</v>
      </c>
      <c r="CH31">
        <v>26.58</v>
      </c>
      <c r="CI31">
        <v>16252.727000000001</v>
      </c>
      <c r="CJ31" s="2">
        <v>-1.8290000000000001E-2</v>
      </c>
      <c r="CK31">
        <v>-0.78400000000000003</v>
      </c>
      <c r="CL31">
        <v>518.29</v>
      </c>
      <c r="CM31">
        <v>42.076999999999998</v>
      </c>
      <c r="CN31" s="2">
        <v>4.2119999999999998E-2</v>
      </c>
      <c r="CO31" s="2">
        <v>0.33889000000000002</v>
      </c>
      <c r="CP31">
        <v>78.578999999999994</v>
      </c>
      <c r="CQ31">
        <v>24.62</v>
      </c>
      <c r="CR31">
        <v>0</v>
      </c>
      <c r="CS31" s="2">
        <v>0.30001</v>
      </c>
      <c r="CT31">
        <v>18.134</v>
      </c>
      <c r="CU31">
        <v>303</v>
      </c>
      <c r="CV31">
        <v>0</v>
      </c>
      <c r="CW31">
        <v>967.91399999999999</v>
      </c>
      <c r="CX31" s="2">
        <v>3.9009999999999996E-2</v>
      </c>
      <c r="CY31" s="2">
        <v>0</v>
      </c>
      <c r="CZ31" s="2">
        <v>2.0179999999999997E-2</v>
      </c>
      <c r="DA31">
        <v>7773.7150000000001</v>
      </c>
      <c r="DB31">
        <v>3893.4229999999998</v>
      </c>
      <c r="DC31" s="2">
        <v>0.20337</v>
      </c>
      <c r="DD31">
        <v>53.18</v>
      </c>
      <c r="DE31">
        <v>297.995</v>
      </c>
      <c r="DF31">
        <v>1101.6969999999999</v>
      </c>
      <c r="DG31">
        <v>89.44</v>
      </c>
      <c r="DH31">
        <v>3670.6179999999999</v>
      </c>
      <c r="DI31" s="2">
        <v>0.14172000000000001</v>
      </c>
      <c r="DJ31" s="2">
        <v>7.6539999999999997E-2</v>
      </c>
      <c r="DK31" s="2">
        <v>0.38499</v>
      </c>
      <c r="DL31">
        <v>2.4249999999999998</v>
      </c>
      <c r="DM31">
        <v>8.8699999999999992</v>
      </c>
      <c r="DN31">
        <v>38.677999999999997</v>
      </c>
      <c r="DO31">
        <v>3.14</v>
      </c>
      <c r="DP31">
        <v>109.261</v>
      </c>
      <c r="DQ31" s="2">
        <v>4.9800000000000001E-3</v>
      </c>
      <c r="DR31" s="2">
        <v>2.2799999999999999E-3</v>
      </c>
      <c r="DS31" s="2">
        <v>0.29315999999999998</v>
      </c>
      <c r="DT31">
        <v>25.408999999999999</v>
      </c>
      <c r="DU31">
        <v>114.538</v>
      </c>
      <c r="DV31">
        <v>499</v>
      </c>
      <c r="DW31">
        <v>40.51</v>
      </c>
      <c r="DX31">
        <v>1410.8530000000001</v>
      </c>
      <c r="DY31" s="2">
        <v>6.4189999999999997E-2</v>
      </c>
      <c r="DZ31" s="2">
        <v>2.9420000000000002E-2</v>
      </c>
    </row>
    <row r="32" spans="1:130" x14ac:dyDescent="0.3">
      <c r="A32" t="s">
        <v>166</v>
      </c>
      <c r="B32">
        <v>2008</v>
      </c>
      <c r="C32" t="s">
        <v>167</v>
      </c>
      <c r="D32" s="1">
        <v>61721004</v>
      </c>
      <c r="E32" s="1">
        <v>2362451689472</v>
      </c>
      <c r="F32" s="1">
        <v>2362451.6894720001</v>
      </c>
      <c r="G32" s="2">
        <v>0.62277000000000005</v>
      </c>
      <c r="H32">
        <v>10.005000000000001</v>
      </c>
      <c r="I32">
        <v>422.37400000000002</v>
      </c>
      <c r="J32">
        <v>26.068999999999999</v>
      </c>
      <c r="K32">
        <v>64</v>
      </c>
      <c r="L32">
        <v>3.97</v>
      </c>
      <c r="M32" s="2">
        <v>6.9999999999999993E-3</v>
      </c>
      <c r="N32" s="2">
        <v>8.4499999999999992E-3</v>
      </c>
      <c r="O32">
        <v>76.034000000000006</v>
      </c>
      <c r="P32" s="2">
        <v>-5.2199999999999996E-2</v>
      </c>
      <c r="Q32">
        <v>-8.1189999999999998</v>
      </c>
      <c r="R32">
        <v>2388.7469999999998</v>
      </c>
      <c r="S32">
        <v>147.43600000000001</v>
      </c>
      <c r="T32">
        <v>373.61700000000002</v>
      </c>
      <c r="U32">
        <v>23.06</v>
      </c>
      <c r="W32">
        <v>0</v>
      </c>
      <c r="X32">
        <v>0</v>
      </c>
      <c r="Y32">
        <v>0</v>
      </c>
      <c r="Z32" s="2">
        <v>4.0670000000000005E-2</v>
      </c>
      <c r="AA32" s="2">
        <v>4.7789999999999999E-2</v>
      </c>
      <c r="AB32">
        <v>518.99</v>
      </c>
      <c r="AC32">
        <v>566.98</v>
      </c>
      <c r="AD32" s="2">
        <v>0.25742999999999999</v>
      </c>
      <c r="AE32" s="2">
        <v>2.9399999999999999E-3</v>
      </c>
      <c r="AF32">
        <v>9.0549999999999997</v>
      </c>
      <c r="AG32">
        <v>49980.468999999997</v>
      </c>
      <c r="AH32">
        <v>1.306</v>
      </c>
      <c r="AI32" s="2">
        <v>-8.3599999999999994E-3</v>
      </c>
      <c r="AJ32">
        <v>-14.026</v>
      </c>
      <c r="AK32">
        <v>894.34699999999998</v>
      </c>
      <c r="AL32">
        <v>55.2</v>
      </c>
      <c r="AM32">
        <v>26970.51</v>
      </c>
      <c r="AN32">
        <v>1664.6469999999999</v>
      </c>
      <c r="AO32" s="2">
        <v>9.7360000000000002E-2</v>
      </c>
      <c r="AP32" s="2">
        <v>0.53961999999999999</v>
      </c>
      <c r="AQ32" s="2">
        <v>3.6319999999999998E-2</v>
      </c>
      <c r="AR32">
        <v>16.254999999999999</v>
      </c>
      <c r="AS32">
        <v>463.86500000000001</v>
      </c>
      <c r="AT32">
        <v>354</v>
      </c>
      <c r="AU32">
        <v>21.88</v>
      </c>
      <c r="AV32">
        <v>7515.5050000000001</v>
      </c>
      <c r="AW32" s="2">
        <v>-0.13164000000000001</v>
      </c>
      <c r="AX32">
        <v>-1.52</v>
      </c>
      <c r="AY32">
        <v>162.43799999999999</v>
      </c>
      <c r="AZ32">
        <v>10.026</v>
      </c>
      <c r="BA32" s="2">
        <v>3.8589999999999999E-2</v>
      </c>
      <c r="BB32" s="2">
        <v>0.15037</v>
      </c>
      <c r="BC32">
        <v>43.11</v>
      </c>
      <c r="BD32" s="2">
        <v>0.10503</v>
      </c>
      <c r="BE32">
        <v>15.989000000000001</v>
      </c>
      <c r="BF32">
        <v>178.87100000000001</v>
      </c>
      <c r="BG32">
        <v>1007.1130000000001</v>
      </c>
      <c r="BH32">
        <v>62.16</v>
      </c>
      <c r="BI32">
        <v>2898.0639999999999</v>
      </c>
      <c r="BJ32" s="2">
        <v>0.10962999999999999</v>
      </c>
      <c r="BK32" s="2">
        <v>5.7980000000000004E-2</v>
      </c>
      <c r="BL32" s="2">
        <v>3.381E-2</v>
      </c>
      <c r="BM32">
        <v>23.081</v>
      </c>
      <c r="BN32">
        <v>1420.1980000000001</v>
      </c>
      <c r="BO32">
        <v>8291.8289999999997</v>
      </c>
      <c r="BP32">
        <v>511.78</v>
      </c>
      <c r="BQ32">
        <v>23009.958999999999</v>
      </c>
      <c r="BR32" s="2">
        <v>0.90264</v>
      </c>
      <c r="BS32" s="2">
        <v>0.46037999999999996</v>
      </c>
      <c r="BT32">
        <v>-47.99</v>
      </c>
      <c r="BU32" s="2">
        <v>-9.2469999999999997E-2</v>
      </c>
      <c r="BV32" s="2">
        <v>-6.4000000000000005E-4</v>
      </c>
      <c r="BW32">
        <v>-8.1739999999999995</v>
      </c>
      <c r="BX32">
        <v>1184.9780000000001</v>
      </c>
      <c r="BY32">
        <v>7120</v>
      </c>
      <c r="BZ32">
        <v>439</v>
      </c>
      <c r="CA32">
        <v>19198.938999999998</v>
      </c>
      <c r="CB32" s="2">
        <v>0.78</v>
      </c>
      <c r="CC32" s="2">
        <v>0.38412999999999997</v>
      </c>
      <c r="CD32" s="2">
        <v>-2.061E-2</v>
      </c>
      <c r="CE32">
        <v>-22.161999999999999</v>
      </c>
      <c r="CF32">
        <v>1053.347</v>
      </c>
      <c r="CG32">
        <v>166.232</v>
      </c>
      <c r="CH32">
        <v>10.26</v>
      </c>
      <c r="CI32">
        <v>17066.259999999998</v>
      </c>
      <c r="CJ32" s="2">
        <v>-1.3610000000000001E-2</v>
      </c>
      <c r="CK32">
        <v>-0.17599999999999999</v>
      </c>
      <c r="CL32">
        <v>206.697</v>
      </c>
      <c r="CM32">
        <v>12.757999999999999</v>
      </c>
      <c r="CN32" s="2">
        <v>1.8100000000000002E-2</v>
      </c>
      <c r="CO32" s="2">
        <v>0.34145999999999999</v>
      </c>
      <c r="CP32">
        <v>14.161</v>
      </c>
      <c r="CQ32">
        <v>4.4400000000000004</v>
      </c>
      <c r="CR32">
        <v>0.47</v>
      </c>
      <c r="CS32" s="2">
        <v>5.2179999999999997E-2</v>
      </c>
      <c r="CT32">
        <v>0.70199999999999996</v>
      </c>
      <c r="CU32">
        <v>72</v>
      </c>
      <c r="CV32">
        <v>8</v>
      </c>
      <c r="CW32">
        <v>229.429</v>
      </c>
      <c r="CX32" s="2">
        <v>7.8300000000000002E-3</v>
      </c>
      <c r="CY32" s="2">
        <v>8.3000000000000001E-4</v>
      </c>
      <c r="CZ32" s="2">
        <v>4.5900000000000003E-3</v>
      </c>
      <c r="DA32">
        <v>9186.1759999999995</v>
      </c>
      <c r="DB32">
        <v>3084.8449999999998</v>
      </c>
      <c r="DC32" s="2">
        <v>0.21864</v>
      </c>
      <c r="DD32">
        <v>31.254999999999999</v>
      </c>
      <c r="DE32">
        <v>235.22</v>
      </c>
      <c r="DF32">
        <v>1171.886</v>
      </c>
      <c r="DG32">
        <v>72.33</v>
      </c>
      <c r="DH32">
        <v>3811.0189999999998</v>
      </c>
      <c r="DI32" s="2">
        <v>0.12756999999999999</v>
      </c>
      <c r="DJ32" s="2">
        <v>7.6249999999999998E-2</v>
      </c>
      <c r="DK32" s="2">
        <v>1.3333299999999999</v>
      </c>
      <c r="DL32">
        <v>6.7000000000000004E-2</v>
      </c>
      <c r="DM32">
        <v>0.11799999999999999</v>
      </c>
      <c r="DN32">
        <v>0.64800000000000002</v>
      </c>
      <c r="DO32">
        <v>0.04</v>
      </c>
      <c r="DP32">
        <v>1.9119999999999999</v>
      </c>
      <c r="DQ32" s="2">
        <v>7.0000000000000007E-5</v>
      </c>
      <c r="DR32" s="2">
        <v>4.0000000000000003E-5</v>
      </c>
      <c r="DS32" s="2">
        <v>0.39901999999999999</v>
      </c>
      <c r="DT32">
        <v>4.492</v>
      </c>
      <c r="DU32">
        <v>16</v>
      </c>
      <c r="DV32">
        <v>92</v>
      </c>
      <c r="DW32">
        <v>5.69</v>
      </c>
      <c r="DX32">
        <v>259.23899999999998</v>
      </c>
      <c r="DY32" s="2">
        <v>1.004E-2</v>
      </c>
      <c r="DZ32" s="2">
        <v>5.1900000000000002E-3</v>
      </c>
    </row>
    <row r="33" spans="1:130" x14ac:dyDescent="0.3">
      <c r="A33" t="s">
        <v>165</v>
      </c>
      <c r="B33">
        <v>2008</v>
      </c>
      <c r="C33" t="s">
        <v>168</v>
      </c>
      <c r="D33" s="1">
        <v>81217488</v>
      </c>
      <c r="E33" s="1">
        <v>3289020366848</v>
      </c>
      <c r="F33" s="1">
        <v>3289020.3668479999</v>
      </c>
      <c r="G33" s="2">
        <v>-0.12259</v>
      </c>
      <c r="H33">
        <v>-4.431</v>
      </c>
      <c r="I33">
        <v>390.49799999999999</v>
      </c>
      <c r="J33">
        <v>31.715</v>
      </c>
      <c r="K33">
        <v>345</v>
      </c>
      <c r="L33">
        <v>28.02</v>
      </c>
      <c r="M33" s="2">
        <v>4.4320000000000005E-2</v>
      </c>
      <c r="N33" s="2">
        <v>8.0600000000000012E-3</v>
      </c>
      <c r="O33">
        <v>525.40800000000002</v>
      </c>
      <c r="P33" s="2">
        <v>-7.5850000000000001E-2</v>
      </c>
      <c r="Q33">
        <v>-76.478999999999999</v>
      </c>
      <c r="R33">
        <v>11473</v>
      </c>
      <c r="S33">
        <v>931.80799999999999</v>
      </c>
      <c r="T33">
        <v>3388.556</v>
      </c>
      <c r="U33">
        <v>275.20999999999998</v>
      </c>
      <c r="V33" s="2">
        <v>-7.936E-2</v>
      </c>
      <c r="W33">
        <v>-50.22</v>
      </c>
      <c r="X33">
        <v>7173.5259999999998</v>
      </c>
      <c r="Y33">
        <v>582.61599999999999</v>
      </c>
      <c r="Z33" s="2">
        <v>0.43526000000000004</v>
      </c>
      <c r="AA33" s="2">
        <v>0.23681999999999997</v>
      </c>
      <c r="AB33">
        <v>612.19000000000005</v>
      </c>
      <c r="AC33">
        <v>632.29</v>
      </c>
      <c r="AD33" s="2">
        <v>0.18062999999999999</v>
      </c>
      <c r="AE33" s="2">
        <v>1.0589999999999999E-2</v>
      </c>
      <c r="AF33">
        <v>41.243000000000002</v>
      </c>
      <c r="AG33">
        <v>48446.046999999999</v>
      </c>
      <c r="AH33">
        <v>1.196</v>
      </c>
      <c r="AI33" s="2">
        <v>3.6600000000000001E-3</v>
      </c>
      <c r="AJ33">
        <v>11.776</v>
      </c>
      <c r="AK33">
        <v>4794.9030000000002</v>
      </c>
      <c r="AL33">
        <v>389.43</v>
      </c>
      <c r="AM33">
        <v>39719.078000000001</v>
      </c>
      <c r="AN33">
        <v>3225.884</v>
      </c>
      <c r="AO33" s="2">
        <v>0.6159</v>
      </c>
      <c r="AP33" s="2">
        <v>0.81986000000000003</v>
      </c>
      <c r="AQ33" s="2">
        <v>9.75E-3</v>
      </c>
      <c r="AR33">
        <v>8.6440000000000001</v>
      </c>
      <c r="AS33">
        <v>895.00599999999997</v>
      </c>
      <c r="AT33">
        <v>1089</v>
      </c>
      <c r="AU33">
        <v>88.48</v>
      </c>
      <c r="AV33">
        <v>11019.870999999999</v>
      </c>
      <c r="AW33" s="2">
        <v>-8.9160000000000003E-2</v>
      </c>
      <c r="AX33">
        <v>-13.347</v>
      </c>
      <c r="AY33">
        <v>1678.8340000000001</v>
      </c>
      <c r="AZ33">
        <v>136.351</v>
      </c>
      <c r="BA33" s="2">
        <v>0.13994000000000001</v>
      </c>
      <c r="BB33" s="2">
        <v>0.22747000000000001</v>
      </c>
      <c r="BC33">
        <v>332.21</v>
      </c>
      <c r="BD33" s="2">
        <v>-3.4340000000000002E-2</v>
      </c>
      <c r="BE33">
        <v>-2.415</v>
      </c>
      <c r="BF33">
        <v>57.445999999999998</v>
      </c>
      <c r="BG33">
        <v>251.67</v>
      </c>
      <c r="BH33">
        <v>20.440000000000001</v>
      </c>
      <c r="BI33">
        <v>707.31100000000004</v>
      </c>
      <c r="BJ33" s="2">
        <v>3.2329999999999998E-2</v>
      </c>
      <c r="BK33" s="2">
        <v>1.46E-2</v>
      </c>
      <c r="BL33" s="2">
        <v>3.2890000000000003E-2</v>
      </c>
      <c r="BM33">
        <v>29.466000000000001</v>
      </c>
      <c r="BN33">
        <v>708.78300000000002</v>
      </c>
      <c r="BO33">
        <v>2990.2429999999999</v>
      </c>
      <c r="BP33">
        <v>242.86</v>
      </c>
      <c r="BQ33">
        <v>8726.9699999999993</v>
      </c>
      <c r="BR33" s="2">
        <v>0.38409999999999994</v>
      </c>
      <c r="BS33" s="2">
        <v>0.18013999999999999</v>
      </c>
      <c r="BT33">
        <v>-20.100000000000001</v>
      </c>
      <c r="BU33" s="2">
        <v>-3.2829999999999998E-2</v>
      </c>
      <c r="BV33" s="2">
        <v>5.8650000000000001E-2</v>
      </c>
      <c r="BW33">
        <v>19.859000000000002</v>
      </c>
      <c r="BX33">
        <v>401.18</v>
      </c>
      <c r="BY33">
        <v>1828</v>
      </c>
      <c r="BZ33">
        <v>148</v>
      </c>
      <c r="CA33">
        <v>4939.5789999999997</v>
      </c>
      <c r="CB33" s="2">
        <v>0.23</v>
      </c>
      <c r="CC33" s="2">
        <v>0.10196</v>
      </c>
      <c r="CD33" s="2">
        <v>6.0339999999999998E-2</v>
      </c>
      <c r="CE33">
        <v>79.611000000000004</v>
      </c>
      <c r="CF33">
        <v>1399.069</v>
      </c>
      <c r="CG33">
        <v>316.92700000000002</v>
      </c>
      <c r="CH33">
        <v>25.74</v>
      </c>
      <c r="CI33">
        <v>17226.206999999999</v>
      </c>
      <c r="CJ33" s="2">
        <v>-9.2789999999999997E-2</v>
      </c>
      <c r="CK33">
        <v>-3.9039999999999999</v>
      </c>
      <c r="CL33">
        <v>470.005</v>
      </c>
      <c r="CM33">
        <v>38.173000000000002</v>
      </c>
      <c r="CN33" s="2">
        <v>4.0709999999999996E-2</v>
      </c>
      <c r="CO33" s="2">
        <v>0.35558000000000001</v>
      </c>
      <c r="CP33">
        <v>89.478999999999999</v>
      </c>
      <c r="CQ33">
        <v>28.04</v>
      </c>
      <c r="CR33">
        <v>0.02</v>
      </c>
      <c r="CS33" s="2">
        <v>0.13882</v>
      </c>
      <c r="CT33">
        <v>10.9</v>
      </c>
      <c r="CU33">
        <v>345</v>
      </c>
      <c r="CV33">
        <v>0</v>
      </c>
      <c r="CW33">
        <v>1101.721</v>
      </c>
      <c r="CX33" s="2">
        <v>4.4349999999999994E-2</v>
      </c>
      <c r="CY33" s="2">
        <v>3.0000000000000001E-5</v>
      </c>
      <c r="CZ33" s="2">
        <v>2.274E-2</v>
      </c>
      <c r="DA33">
        <v>7785.1459999999997</v>
      </c>
      <c r="DB33">
        <v>3934.6660000000002</v>
      </c>
      <c r="DC33" s="2">
        <v>4.0500000000000006E-3</v>
      </c>
      <c r="DD33">
        <v>9.6069999999999993</v>
      </c>
      <c r="DE33">
        <v>307.60199999999998</v>
      </c>
      <c r="DF33">
        <v>1161.942</v>
      </c>
      <c r="DG33">
        <v>94.37</v>
      </c>
      <c r="DH33">
        <v>3787.39</v>
      </c>
      <c r="DI33" s="2">
        <v>0.14924999999999999</v>
      </c>
      <c r="DJ33" s="2">
        <v>7.8179999999999999E-2</v>
      </c>
      <c r="DK33" s="2">
        <v>0.43703999999999998</v>
      </c>
      <c r="DL33">
        <v>3.7970000000000002</v>
      </c>
      <c r="DM33">
        <v>12.667999999999999</v>
      </c>
      <c r="DN33">
        <v>55.53</v>
      </c>
      <c r="DO33">
        <v>4.51</v>
      </c>
      <c r="DP33">
        <v>155.97300000000001</v>
      </c>
      <c r="DQ33" s="2">
        <v>7.1300000000000001E-3</v>
      </c>
      <c r="DR33" s="2">
        <v>3.2200000000000002E-3</v>
      </c>
      <c r="DS33" s="2">
        <v>2.1680000000000001E-2</v>
      </c>
      <c r="DT33">
        <v>1.756</v>
      </c>
      <c r="DU33">
        <v>116.294</v>
      </c>
      <c r="DV33">
        <v>509</v>
      </c>
      <c r="DW33">
        <v>41.38</v>
      </c>
      <c r="DX33">
        <v>1431.8869999999999</v>
      </c>
      <c r="DY33" s="2">
        <v>6.5439999999999998E-2</v>
      </c>
      <c r="DZ33" s="2">
        <v>2.9559999999999999E-2</v>
      </c>
    </row>
    <row r="34" spans="1:130" x14ac:dyDescent="0.3">
      <c r="A34" t="s">
        <v>166</v>
      </c>
      <c r="B34">
        <v>2009</v>
      </c>
      <c r="C34" t="s">
        <v>167</v>
      </c>
      <c r="D34" s="1">
        <v>62093300</v>
      </c>
      <c r="E34" s="1">
        <v>2295353049088</v>
      </c>
      <c r="F34" s="1">
        <v>2295353.0490879999</v>
      </c>
      <c r="G34" s="2">
        <v>6.9919999999999996E-2</v>
      </c>
      <c r="H34">
        <v>1.823</v>
      </c>
      <c r="I34">
        <v>449.19600000000003</v>
      </c>
      <c r="J34">
        <v>27.891999999999999</v>
      </c>
      <c r="K34">
        <v>67</v>
      </c>
      <c r="L34">
        <v>4.13</v>
      </c>
      <c r="M34" s="2">
        <v>7.8100000000000001E-3</v>
      </c>
      <c r="N34" s="2">
        <v>9.5899999999999996E-3</v>
      </c>
      <c r="O34">
        <v>75.594999999999999</v>
      </c>
      <c r="P34" s="2">
        <v>-0.12773000000000001</v>
      </c>
      <c r="Q34">
        <v>-18.832999999999998</v>
      </c>
      <c r="R34">
        <v>2071.1289999999999</v>
      </c>
      <c r="S34">
        <v>128.60300000000001</v>
      </c>
      <c r="T34">
        <v>348.99099999999999</v>
      </c>
      <c r="U34">
        <v>21.67</v>
      </c>
      <c r="W34">
        <v>0</v>
      </c>
      <c r="X34">
        <v>0</v>
      </c>
      <c r="Y34">
        <v>0</v>
      </c>
      <c r="Z34" s="2">
        <v>4.0970000000000006E-2</v>
      </c>
      <c r="AA34" s="2">
        <v>4.4209999999999999E-2</v>
      </c>
      <c r="AB34">
        <v>502.94</v>
      </c>
      <c r="AC34">
        <v>528.87</v>
      </c>
      <c r="AD34" s="2">
        <v>0.25275999999999998</v>
      </c>
      <c r="AE34" s="2">
        <v>-5.7030000000000004E-2</v>
      </c>
      <c r="AF34">
        <v>-175.934</v>
      </c>
      <c r="AG34">
        <v>46847.41</v>
      </c>
      <c r="AH34">
        <v>1.2669999999999999</v>
      </c>
      <c r="AI34" s="2">
        <v>-4.6879999999999998E-2</v>
      </c>
      <c r="AJ34">
        <v>-78.033000000000001</v>
      </c>
      <c r="AK34">
        <v>821.02300000000002</v>
      </c>
      <c r="AL34">
        <v>50.98</v>
      </c>
      <c r="AM34">
        <v>25552.09</v>
      </c>
      <c r="AN34">
        <v>1586.614</v>
      </c>
      <c r="AO34" s="2">
        <v>9.638999999999999E-2</v>
      </c>
      <c r="AP34" s="2">
        <v>0.54542999999999997</v>
      </c>
      <c r="AQ34" s="2">
        <v>-3.569E-2</v>
      </c>
      <c r="AR34">
        <v>-16.553999999999998</v>
      </c>
      <c r="AS34">
        <v>447.31099999999998</v>
      </c>
      <c r="AT34">
        <v>330</v>
      </c>
      <c r="AU34">
        <v>20.5</v>
      </c>
      <c r="AV34">
        <v>7203.8490000000002</v>
      </c>
      <c r="AW34" s="2">
        <v>-4.8930000000000001E-2</v>
      </c>
      <c r="AX34">
        <v>-0.49099999999999999</v>
      </c>
      <c r="AY34">
        <v>153.56299999999999</v>
      </c>
      <c r="AZ34">
        <v>9.5350000000000001</v>
      </c>
      <c r="BA34" s="2">
        <v>3.8759999999999996E-2</v>
      </c>
      <c r="BB34" s="2">
        <v>0.15377000000000002</v>
      </c>
      <c r="BC34">
        <v>39.979999999999997</v>
      </c>
      <c r="BD34" s="2">
        <v>-0.10462999999999999</v>
      </c>
      <c r="BE34">
        <v>-19.704000000000001</v>
      </c>
      <c r="BF34">
        <v>159.16800000000001</v>
      </c>
      <c r="BG34">
        <v>893.65499999999997</v>
      </c>
      <c r="BH34">
        <v>55.49</v>
      </c>
      <c r="BI34">
        <v>2563.366</v>
      </c>
      <c r="BJ34" s="2">
        <v>0.10492000000000001</v>
      </c>
      <c r="BK34" s="2">
        <v>5.4720000000000005E-2</v>
      </c>
      <c r="BL34" s="2">
        <v>-5.944E-2</v>
      </c>
      <c r="BM34">
        <v>-97.900999999999996</v>
      </c>
      <c r="BN34">
        <v>1322.297</v>
      </c>
      <c r="BO34">
        <v>7696.3220000000001</v>
      </c>
      <c r="BP34">
        <v>477.89</v>
      </c>
      <c r="BQ34">
        <v>21295.322</v>
      </c>
      <c r="BR34" s="2">
        <v>0.90361000000000002</v>
      </c>
      <c r="BS34" s="2">
        <v>0.45457000000000003</v>
      </c>
      <c r="BT34">
        <v>-25.93</v>
      </c>
      <c r="BU34" s="2">
        <v>-5.1559999999999995E-2</v>
      </c>
      <c r="BV34" s="2">
        <v>-6.7610000000000003E-2</v>
      </c>
      <c r="BW34">
        <v>-86.936999999999998</v>
      </c>
      <c r="BX34">
        <v>1098.0409999999999</v>
      </c>
      <c r="BY34">
        <v>6599</v>
      </c>
      <c r="BZ34">
        <v>410</v>
      </c>
      <c r="CA34">
        <v>17683.732</v>
      </c>
      <c r="CB34" s="2">
        <v>0.77</v>
      </c>
      <c r="CC34" s="2">
        <v>0.37747999999999998</v>
      </c>
      <c r="CD34" s="2">
        <v>-4.0490000000000005E-2</v>
      </c>
      <c r="CE34">
        <v>-42.646999999999998</v>
      </c>
      <c r="CF34">
        <v>1010.699</v>
      </c>
      <c r="CG34">
        <v>141.88300000000001</v>
      </c>
      <c r="CH34">
        <v>8.81</v>
      </c>
      <c r="CI34">
        <v>16277.109</v>
      </c>
      <c r="CJ34" s="2">
        <v>-6.9190000000000002E-2</v>
      </c>
      <c r="CK34">
        <v>-0.88300000000000001</v>
      </c>
      <c r="CL34">
        <v>191.24100000000001</v>
      </c>
      <c r="CM34">
        <v>11.875</v>
      </c>
      <c r="CN34" s="2">
        <v>1.6659999999999998E-2</v>
      </c>
      <c r="CO34" s="2">
        <v>0.34744999999999998</v>
      </c>
      <c r="CP34">
        <v>14.614000000000001</v>
      </c>
      <c r="CQ34">
        <v>4.58</v>
      </c>
      <c r="CR34">
        <v>0.45</v>
      </c>
      <c r="CS34" s="2">
        <v>3.2010000000000004E-2</v>
      </c>
      <c r="CT34">
        <v>0.45300000000000001</v>
      </c>
      <c r="CU34">
        <v>74</v>
      </c>
      <c r="CV34">
        <v>7</v>
      </c>
      <c r="CW34">
        <v>235.35400000000001</v>
      </c>
      <c r="CX34" s="2">
        <v>8.6599999999999993E-3</v>
      </c>
      <c r="CY34" s="2">
        <v>8.5000000000000006E-4</v>
      </c>
      <c r="CZ34" s="2">
        <v>5.0200000000000002E-3</v>
      </c>
      <c r="DA34">
        <v>8517.3439999999991</v>
      </c>
      <c r="DB34">
        <v>2908.91</v>
      </c>
      <c r="DC34" s="2">
        <v>-2.3479999999999997E-2</v>
      </c>
      <c r="DD34">
        <v>-10.964</v>
      </c>
      <c r="DE34">
        <v>224.256</v>
      </c>
      <c r="DF34">
        <v>1097.5419999999999</v>
      </c>
      <c r="DG34">
        <v>68.150000000000006</v>
      </c>
      <c r="DH34">
        <v>3611.5920000000001</v>
      </c>
      <c r="DI34" s="2">
        <v>0.12886</v>
      </c>
      <c r="DJ34" s="2">
        <v>7.7089999999999992E-2</v>
      </c>
      <c r="DK34" s="2">
        <v>3.1428600000000002</v>
      </c>
      <c r="DL34">
        <v>0.36799999999999999</v>
      </c>
      <c r="DM34">
        <v>0.48599999999999999</v>
      </c>
      <c r="DN34">
        <v>2.738</v>
      </c>
      <c r="DO34">
        <v>0.17</v>
      </c>
      <c r="DP34">
        <v>7.8259999999999996</v>
      </c>
      <c r="DQ34" s="2">
        <v>3.2000000000000003E-4</v>
      </c>
      <c r="DR34" s="2">
        <v>1.7000000000000001E-4</v>
      </c>
      <c r="DS34" s="2">
        <v>0.38953000000000004</v>
      </c>
      <c r="DT34">
        <v>6.0949999999999998</v>
      </c>
      <c r="DU34">
        <v>22.096</v>
      </c>
      <c r="DV34">
        <v>127</v>
      </c>
      <c r="DW34">
        <v>7.91</v>
      </c>
      <c r="DX34">
        <v>355.851</v>
      </c>
      <c r="DY34" s="2">
        <v>1.4959999999999999E-2</v>
      </c>
      <c r="DZ34" s="2">
        <v>7.6E-3</v>
      </c>
    </row>
    <row r="35" spans="1:130" x14ac:dyDescent="0.3">
      <c r="A35" t="s">
        <v>165</v>
      </c>
      <c r="B35">
        <v>2009</v>
      </c>
      <c r="C35" t="s">
        <v>168</v>
      </c>
      <c r="D35" s="1">
        <v>81260624</v>
      </c>
      <c r="E35" s="1">
        <v>3136502104064</v>
      </c>
      <c r="F35" s="1">
        <v>3136502.1040639998</v>
      </c>
      <c r="G35" s="2">
        <v>-6.3899999999999998E-3</v>
      </c>
      <c r="H35">
        <v>-0.20300000000000001</v>
      </c>
      <c r="I35">
        <v>387.79700000000003</v>
      </c>
      <c r="J35">
        <v>31.513000000000002</v>
      </c>
      <c r="K35">
        <v>380</v>
      </c>
      <c r="L35">
        <v>30.89</v>
      </c>
      <c r="M35" s="2">
        <v>5.2539999999999996E-2</v>
      </c>
      <c r="N35" s="2">
        <v>8.5299999999999994E-3</v>
      </c>
      <c r="O35">
        <v>521.54899999999998</v>
      </c>
      <c r="P35" s="2">
        <v>-0.10464999999999999</v>
      </c>
      <c r="Q35">
        <v>-97.516000000000005</v>
      </c>
      <c r="R35">
        <v>10266.871999999999</v>
      </c>
      <c r="S35">
        <v>834.29200000000003</v>
      </c>
      <c r="T35">
        <v>3118.9769999999999</v>
      </c>
      <c r="U35">
        <v>253.45</v>
      </c>
      <c r="V35" s="2">
        <v>-7.3480000000000004E-2</v>
      </c>
      <c r="W35">
        <v>-42.813000000000002</v>
      </c>
      <c r="X35">
        <v>6642.857</v>
      </c>
      <c r="Y35">
        <v>539.803</v>
      </c>
      <c r="Z35" s="2">
        <v>0.43107000000000001</v>
      </c>
      <c r="AA35" s="2">
        <v>0.22595999999999999</v>
      </c>
      <c r="AB35">
        <v>575.69000000000005</v>
      </c>
      <c r="AC35">
        <v>587.96</v>
      </c>
      <c r="AD35" s="2">
        <v>0.17920000000000003</v>
      </c>
      <c r="AE35" s="2">
        <v>-6.1630000000000004E-2</v>
      </c>
      <c r="AF35">
        <v>-242.488</v>
      </c>
      <c r="AG35">
        <v>45436.254000000001</v>
      </c>
      <c r="AH35">
        <v>1.177</v>
      </c>
      <c r="AI35" s="2">
        <v>-6.4310000000000006E-2</v>
      </c>
      <c r="AJ35">
        <v>-207.452</v>
      </c>
      <c r="AK35">
        <v>4392.6570000000002</v>
      </c>
      <c r="AL35">
        <v>356.95</v>
      </c>
      <c r="AM35">
        <v>37145.078000000001</v>
      </c>
      <c r="AN35">
        <v>3018.4319999999998</v>
      </c>
      <c r="AO35" s="2">
        <v>0.60709999999999997</v>
      </c>
      <c r="AP35" s="2">
        <v>0.81751999999999991</v>
      </c>
      <c r="AQ35" s="2">
        <v>-5.6649999999999999E-2</v>
      </c>
      <c r="AR35">
        <v>-50.704999999999998</v>
      </c>
      <c r="AS35">
        <v>844.30100000000004</v>
      </c>
      <c r="AT35">
        <v>988</v>
      </c>
      <c r="AU35">
        <v>80.27</v>
      </c>
      <c r="AV35">
        <v>10390.040000000001</v>
      </c>
      <c r="AW35" s="2">
        <v>-6.5189999999999998E-2</v>
      </c>
      <c r="AX35">
        <v>-8.8889999999999993</v>
      </c>
      <c r="AY35">
        <v>1568.5540000000001</v>
      </c>
      <c r="AZ35">
        <v>127.462</v>
      </c>
      <c r="BA35" s="2">
        <v>0.13652</v>
      </c>
      <c r="BB35" s="2">
        <v>0.22867000000000001</v>
      </c>
      <c r="BC35">
        <v>306.64999999999998</v>
      </c>
      <c r="BD35" s="2">
        <v>-6.9070000000000006E-2</v>
      </c>
      <c r="BE35">
        <v>-4.298</v>
      </c>
      <c r="BF35">
        <v>53.148000000000003</v>
      </c>
      <c r="BG35">
        <v>234.185</v>
      </c>
      <c r="BH35">
        <v>19.03</v>
      </c>
      <c r="BI35">
        <v>654.04499999999996</v>
      </c>
      <c r="BJ35" s="2">
        <v>3.2370000000000003E-2</v>
      </c>
      <c r="BK35" s="2">
        <v>1.439E-2</v>
      </c>
      <c r="BL35" s="2">
        <v>-4.4920000000000002E-2</v>
      </c>
      <c r="BM35">
        <v>-35.036000000000001</v>
      </c>
      <c r="BN35">
        <v>673.74599999999998</v>
      </c>
      <c r="BO35">
        <v>2842.828</v>
      </c>
      <c r="BP35">
        <v>231.01</v>
      </c>
      <c r="BQ35">
        <v>8291.1769999999997</v>
      </c>
      <c r="BR35" s="2">
        <v>0.39289999999999997</v>
      </c>
      <c r="BS35" s="2">
        <v>0.18248</v>
      </c>
      <c r="BT35">
        <v>-12.27</v>
      </c>
      <c r="BU35" s="2">
        <v>-2.1309999999999999E-2</v>
      </c>
      <c r="BV35" s="2">
        <v>-9.305999999999999E-2</v>
      </c>
      <c r="BW35">
        <v>-39.579000000000001</v>
      </c>
      <c r="BX35">
        <v>361.601</v>
      </c>
      <c r="BY35">
        <v>1660</v>
      </c>
      <c r="BZ35">
        <v>135</v>
      </c>
      <c r="CA35">
        <v>4449.8909999999996</v>
      </c>
      <c r="CB35" s="2">
        <v>0.23</v>
      </c>
      <c r="CC35" s="2">
        <v>9.7939999999999999E-2</v>
      </c>
      <c r="CD35" s="2">
        <v>-4.2340000000000003E-2</v>
      </c>
      <c r="CE35">
        <v>-59.231000000000002</v>
      </c>
      <c r="CF35">
        <v>1339.838</v>
      </c>
      <c r="CG35">
        <v>285.87</v>
      </c>
      <c r="CH35">
        <v>23.23</v>
      </c>
      <c r="CI35">
        <v>16488.162</v>
      </c>
      <c r="CJ35" s="2">
        <v>-8.584E-2</v>
      </c>
      <c r="CK35">
        <v>-3.2770000000000001</v>
      </c>
      <c r="CL35">
        <v>429.43299999999999</v>
      </c>
      <c r="CM35">
        <v>34.896000000000001</v>
      </c>
      <c r="CN35" s="2">
        <v>3.9510000000000003E-2</v>
      </c>
      <c r="CO35" s="2">
        <v>0.36288999999999999</v>
      </c>
      <c r="CP35">
        <v>98.643000000000001</v>
      </c>
      <c r="CQ35">
        <v>30.91</v>
      </c>
      <c r="CR35">
        <v>0.02</v>
      </c>
      <c r="CS35" s="2">
        <v>0.10241</v>
      </c>
      <c r="CT35">
        <v>9.1639999999999997</v>
      </c>
      <c r="CU35">
        <v>380</v>
      </c>
      <c r="CV35">
        <v>0</v>
      </c>
      <c r="CW35">
        <v>1213.9069999999999</v>
      </c>
      <c r="CX35" s="2">
        <v>5.2569999999999999E-2</v>
      </c>
      <c r="CY35" s="2">
        <v>3.0000000000000001E-5</v>
      </c>
      <c r="CZ35" s="2">
        <v>2.6720000000000001E-2</v>
      </c>
      <c r="DA35">
        <v>7235.4849999999997</v>
      </c>
      <c r="DB35">
        <v>3692.1779999999999</v>
      </c>
      <c r="DC35" s="2">
        <v>1.188E-2</v>
      </c>
      <c r="DD35">
        <v>4.5430000000000001</v>
      </c>
      <c r="DE35">
        <v>312.14499999999998</v>
      </c>
      <c r="DF35">
        <v>1182.3689999999999</v>
      </c>
      <c r="DG35">
        <v>96.08</v>
      </c>
      <c r="DH35">
        <v>3841.2860000000001</v>
      </c>
      <c r="DI35" s="2">
        <v>0.16341</v>
      </c>
      <c r="DJ35" s="2">
        <v>8.4540000000000004E-2</v>
      </c>
      <c r="DK35" s="2">
        <v>0.48957000000000001</v>
      </c>
      <c r="DL35">
        <v>6.085</v>
      </c>
      <c r="DM35">
        <v>18.753</v>
      </c>
      <c r="DN35">
        <v>82.697000000000003</v>
      </c>
      <c r="DO35">
        <v>6.72</v>
      </c>
      <c r="DP35">
        <v>230.77699999999999</v>
      </c>
      <c r="DQ35" s="2">
        <v>1.1430000000000001E-2</v>
      </c>
      <c r="DR35" s="2">
        <v>5.0800000000000003E-3</v>
      </c>
      <c r="DS35" s="2">
        <v>-4.7480000000000001E-2</v>
      </c>
      <c r="DT35">
        <v>-6.2060000000000004</v>
      </c>
      <c r="DU35">
        <v>110.089</v>
      </c>
      <c r="DV35">
        <v>485</v>
      </c>
      <c r="DW35">
        <v>39.42</v>
      </c>
      <c r="DX35">
        <v>1354.761</v>
      </c>
      <c r="DY35" s="2">
        <v>6.7049999999999998E-2</v>
      </c>
      <c r="DZ35" s="2">
        <v>2.9820000000000003E-2</v>
      </c>
    </row>
    <row r="36" spans="1:130" x14ac:dyDescent="0.3">
      <c r="A36" t="s">
        <v>166</v>
      </c>
      <c r="B36">
        <v>2010</v>
      </c>
      <c r="C36" t="s">
        <v>167</v>
      </c>
      <c r="D36" s="1">
        <v>62444568</v>
      </c>
      <c r="E36" s="1">
        <v>2342490472448</v>
      </c>
      <c r="F36" s="1">
        <v>2342490.4724480002</v>
      </c>
      <c r="G36" s="2">
        <v>-1.9980000000000001E-2</v>
      </c>
      <c r="H36">
        <v>-0.55700000000000005</v>
      </c>
      <c r="I36">
        <v>437.745</v>
      </c>
      <c r="J36">
        <v>27.335000000000001</v>
      </c>
      <c r="K36">
        <v>71</v>
      </c>
      <c r="L36">
        <v>4.4400000000000004</v>
      </c>
      <c r="M36" s="2">
        <v>7.9000000000000008E-3</v>
      </c>
      <c r="N36" s="2">
        <v>9.11E-3</v>
      </c>
      <c r="O36">
        <v>78.561999999999998</v>
      </c>
      <c r="P36" s="2">
        <v>7.4200000000000002E-2</v>
      </c>
      <c r="Q36">
        <v>9.5429999999999993</v>
      </c>
      <c r="R36">
        <v>2212.2979999999998</v>
      </c>
      <c r="S36">
        <v>138.14599999999999</v>
      </c>
      <c r="T36">
        <v>374.09199999999998</v>
      </c>
      <c r="U36">
        <v>23.36</v>
      </c>
      <c r="W36">
        <v>0</v>
      </c>
      <c r="X36">
        <v>0</v>
      </c>
      <c r="Y36">
        <v>0</v>
      </c>
      <c r="Z36" s="2">
        <v>4.1540000000000001E-2</v>
      </c>
      <c r="AA36" s="2">
        <v>4.6029999999999995E-2</v>
      </c>
      <c r="AB36">
        <v>531.65</v>
      </c>
      <c r="AC36">
        <v>562.36</v>
      </c>
      <c r="AD36" s="2">
        <v>0.26205000000000001</v>
      </c>
      <c r="AE36" s="2">
        <v>3.1739999999999997E-2</v>
      </c>
      <c r="AF36">
        <v>92.32</v>
      </c>
      <c r="AG36">
        <v>48062.32</v>
      </c>
      <c r="AH36">
        <v>1.2809999999999999</v>
      </c>
      <c r="AI36" s="2">
        <v>1.6930000000000001E-2</v>
      </c>
      <c r="AJ36">
        <v>26.856999999999999</v>
      </c>
      <c r="AK36">
        <v>915.37199999999996</v>
      </c>
      <c r="AL36">
        <v>57.16</v>
      </c>
      <c r="AM36">
        <v>25838.447</v>
      </c>
      <c r="AN36">
        <v>1613.471</v>
      </c>
      <c r="AO36" s="2">
        <v>0.10163999999999999</v>
      </c>
      <c r="AP36" s="2">
        <v>0.53759999999999997</v>
      </c>
      <c r="AQ36" s="2">
        <v>0.10804999999999999</v>
      </c>
      <c r="AR36">
        <v>48.334000000000003</v>
      </c>
      <c r="AS36">
        <v>495.64499999999998</v>
      </c>
      <c r="AT36">
        <v>380</v>
      </c>
      <c r="AU36">
        <v>23.76</v>
      </c>
      <c r="AV36">
        <v>7937.3519999999999</v>
      </c>
      <c r="AW36" s="2">
        <v>-0.15445999999999999</v>
      </c>
      <c r="AX36">
        <v>-1.4730000000000001</v>
      </c>
      <c r="AY36">
        <v>129.113</v>
      </c>
      <c r="AZ36">
        <v>8.0619999999999994</v>
      </c>
      <c r="BA36" s="2">
        <v>4.2249999999999996E-2</v>
      </c>
      <c r="BB36" s="2">
        <v>0.16515000000000002</v>
      </c>
      <c r="BC36">
        <v>44.18</v>
      </c>
      <c r="BD36" s="2">
        <v>0.10035999999999999</v>
      </c>
      <c r="BE36">
        <v>14.9</v>
      </c>
      <c r="BF36">
        <v>174.06800000000001</v>
      </c>
      <c r="BG36">
        <v>980.06899999999996</v>
      </c>
      <c r="BH36">
        <v>61.2</v>
      </c>
      <c r="BI36">
        <v>2787.5549999999998</v>
      </c>
      <c r="BJ36" s="2">
        <v>0.10883</v>
      </c>
      <c r="BK36" s="2">
        <v>5.7999999999999996E-2</v>
      </c>
      <c r="BL36" s="2">
        <v>5.2760000000000001E-2</v>
      </c>
      <c r="BM36">
        <v>65.462999999999994</v>
      </c>
      <c r="BN36">
        <v>1387.76</v>
      </c>
      <c r="BO36">
        <v>8090.375</v>
      </c>
      <c r="BP36">
        <v>505.2</v>
      </c>
      <c r="BQ36">
        <v>22223.870999999999</v>
      </c>
      <c r="BR36" s="2">
        <v>0.89835999999999994</v>
      </c>
      <c r="BS36" s="2">
        <v>0.46240000000000003</v>
      </c>
      <c r="BT36">
        <v>-30.71</v>
      </c>
      <c r="BU36" s="2">
        <v>-5.7759999999999999E-2</v>
      </c>
      <c r="BV36" s="2">
        <v>4.5850000000000002E-2</v>
      </c>
      <c r="BW36">
        <v>43.295999999999999</v>
      </c>
      <c r="BX36">
        <v>1141.338</v>
      </c>
      <c r="BY36">
        <v>6862</v>
      </c>
      <c r="BZ36">
        <v>429</v>
      </c>
      <c r="CA36">
        <v>18277.611000000001</v>
      </c>
      <c r="CB36" s="2">
        <v>0.76</v>
      </c>
      <c r="CC36" s="2">
        <v>0.38029000000000002</v>
      </c>
      <c r="CD36" s="2">
        <v>-3.0689999999999999E-2</v>
      </c>
      <c r="CE36">
        <v>-31.018999999999998</v>
      </c>
      <c r="CF36">
        <v>979.68</v>
      </c>
      <c r="CG36">
        <v>160.78299999999999</v>
      </c>
      <c r="CH36">
        <v>10.039999999999999</v>
      </c>
      <c r="CI36">
        <v>15688.798000000001</v>
      </c>
      <c r="CJ36" s="2">
        <v>-3.4799999999999996E-3</v>
      </c>
      <c r="CK36">
        <v>-4.1000000000000002E-2</v>
      </c>
      <c r="CL36">
        <v>189.505</v>
      </c>
      <c r="CM36">
        <v>11.834</v>
      </c>
      <c r="CN36" s="2">
        <v>1.7849999999999998E-2</v>
      </c>
      <c r="CO36" s="2">
        <v>0.32643</v>
      </c>
      <c r="CP36">
        <v>15.696</v>
      </c>
      <c r="CQ36">
        <v>4.92</v>
      </c>
      <c r="CR36">
        <v>0.48</v>
      </c>
      <c r="CS36" s="2">
        <v>7.4050000000000005E-2</v>
      </c>
      <c r="CT36">
        <v>1.0820000000000001</v>
      </c>
      <c r="CU36">
        <v>79</v>
      </c>
      <c r="CV36">
        <v>8</v>
      </c>
      <c r="CW36">
        <v>251.36</v>
      </c>
      <c r="CX36" s="2">
        <v>8.7500000000000008E-3</v>
      </c>
      <c r="CY36" s="2">
        <v>8.5000000000000006E-4</v>
      </c>
      <c r="CZ36" s="2">
        <v>5.2300000000000003E-3</v>
      </c>
      <c r="DA36">
        <v>9005.7469999999994</v>
      </c>
      <c r="DB36">
        <v>3001.2310000000002</v>
      </c>
      <c r="DC36" s="2">
        <v>8.1809999999999994E-2</v>
      </c>
      <c r="DD36">
        <v>22.167000000000002</v>
      </c>
      <c r="DE36">
        <v>246.423</v>
      </c>
      <c r="DF36">
        <v>1227.9690000000001</v>
      </c>
      <c r="DG36">
        <v>76.680000000000007</v>
      </c>
      <c r="DH36">
        <v>3946.26</v>
      </c>
      <c r="DI36" s="2">
        <v>0.13635</v>
      </c>
      <c r="DJ36" s="2">
        <v>8.2110000000000002E-2</v>
      </c>
      <c r="DK36" s="2">
        <v>2.5632199999999998</v>
      </c>
      <c r="DL36">
        <v>1.2350000000000001</v>
      </c>
      <c r="DM36">
        <v>1.7210000000000001</v>
      </c>
      <c r="DN36">
        <v>9.9290000000000003</v>
      </c>
      <c r="DO36">
        <v>0.62</v>
      </c>
      <c r="DP36">
        <v>27.558</v>
      </c>
      <c r="DQ36" s="2">
        <v>1.1000000000000001E-3</v>
      </c>
      <c r="DR36" s="2">
        <v>5.6999999999999998E-4</v>
      </c>
      <c r="DS36" s="2">
        <v>0.25695000000000001</v>
      </c>
      <c r="DT36">
        <v>5.5069999999999997</v>
      </c>
      <c r="DU36">
        <v>27.603000000000002</v>
      </c>
      <c r="DV36">
        <v>159</v>
      </c>
      <c r="DW36">
        <v>9.94</v>
      </c>
      <c r="DX36">
        <v>442.04199999999997</v>
      </c>
      <c r="DY36" s="2">
        <v>1.7680000000000001E-2</v>
      </c>
      <c r="DZ36" s="2">
        <v>9.1999999999999998E-3</v>
      </c>
    </row>
    <row r="37" spans="1:130" x14ac:dyDescent="0.3">
      <c r="A37" t="s">
        <v>165</v>
      </c>
      <c r="B37">
        <v>2010</v>
      </c>
      <c r="C37" t="s">
        <v>168</v>
      </c>
      <c r="D37" s="1">
        <v>81325088</v>
      </c>
      <c r="E37" s="1">
        <v>3301123031040</v>
      </c>
      <c r="F37" s="1">
        <v>3301123.0310399998</v>
      </c>
      <c r="G37" s="2">
        <v>9.3999999999999997E-4</v>
      </c>
      <c r="H37">
        <v>0.03</v>
      </c>
      <c r="I37">
        <v>387.85399999999998</v>
      </c>
      <c r="J37">
        <v>31.542000000000002</v>
      </c>
      <c r="K37">
        <v>417</v>
      </c>
      <c r="L37">
        <v>33.92</v>
      </c>
      <c r="M37" s="2">
        <v>5.4339999999999999E-2</v>
      </c>
      <c r="N37" s="2">
        <v>8.199999999999999E-3</v>
      </c>
      <c r="O37">
        <v>516.63699999999994</v>
      </c>
      <c r="P37" s="2">
        <v>7.417E-2</v>
      </c>
      <c r="Q37">
        <v>61.88</v>
      </c>
      <c r="R37">
        <v>11019.628000000001</v>
      </c>
      <c r="S37">
        <v>896.17200000000003</v>
      </c>
      <c r="T37">
        <v>3232.5819999999999</v>
      </c>
      <c r="U37">
        <v>262.89</v>
      </c>
      <c r="V37" s="2">
        <v>-1.1129999999999999E-2</v>
      </c>
      <c r="W37">
        <v>-6.008</v>
      </c>
      <c r="X37">
        <v>6563.7179999999998</v>
      </c>
      <c r="Y37">
        <v>533.79499999999996</v>
      </c>
      <c r="Z37" s="2">
        <v>0.42115999999999998</v>
      </c>
      <c r="AA37" s="2">
        <v>0.23294000000000001</v>
      </c>
      <c r="AB37">
        <v>609.26</v>
      </c>
      <c r="AC37">
        <v>624.21</v>
      </c>
      <c r="AD37" s="2">
        <v>0.18293999999999999</v>
      </c>
      <c r="AE37" s="2">
        <v>4.197E-2</v>
      </c>
      <c r="AF37">
        <v>154.97300000000001</v>
      </c>
      <c r="AG37">
        <v>47305.836000000003</v>
      </c>
      <c r="AH37">
        <v>1.165</v>
      </c>
      <c r="AI37" s="2">
        <v>3.8460000000000001E-2</v>
      </c>
      <c r="AJ37">
        <v>116.09699999999999</v>
      </c>
      <c r="AK37">
        <v>4650.9629999999997</v>
      </c>
      <c r="AL37">
        <v>378.24</v>
      </c>
      <c r="AM37">
        <v>38543.195</v>
      </c>
      <c r="AN37">
        <v>3134.529</v>
      </c>
      <c r="AO37" s="2">
        <v>0.60594999999999999</v>
      </c>
      <c r="AP37" s="2">
        <v>0.81476999999999999</v>
      </c>
      <c r="AQ37" s="2">
        <v>4.3129999999999995E-2</v>
      </c>
      <c r="AR37">
        <v>36.411000000000001</v>
      </c>
      <c r="AS37">
        <v>880.71199999999999</v>
      </c>
      <c r="AT37">
        <v>1091</v>
      </c>
      <c r="AU37">
        <v>88.76</v>
      </c>
      <c r="AV37">
        <v>10829.53</v>
      </c>
      <c r="AW37" s="2">
        <v>-0.12726999999999999</v>
      </c>
      <c r="AX37">
        <v>-16.222000000000001</v>
      </c>
      <c r="AY37">
        <v>1367.8430000000001</v>
      </c>
      <c r="AZ37">
        <v>111.24</v>
      </c>
      <c r="BA37" s="2">
        <v>0.14219999999999999</v>
      </c>
      <c r="BB37" s="2">
        <v>0.22892999999999999</v>
      </c>
      <c r="BC37">
        <v>322.49</v>
      </c>
      <c r="BD37" s="2">
        <v>0.10099</v>
      </c>
      <c r="BE37">
        <v>5.0090000000000003</v>
      </c>
      <c r="BF37">
        <v>58.156999999999996</v>
      </c>
      <c r="BG37">
        <v>257.608</v>
      </c>
      <c r="BH37">
        <v>20.95</v>
      </c>
      <c r="BI37">
        <v>715.11400000000003</v>
      </c>
      <c r="BJ37" s="2">
        <v>3.356E-2</v>
      </c>
      <c r="BK37" s="2">
        <v>1.512E-2</v>
      </c>
      <c r="BL37" s="2">
        <v>5.713E-2</v>
      </c>
      <c r="BM37">
        <v>38.875999999999998</v>
      </c>
      <c r="BN37">
        <v>712.62199999999996</v>
      </c>
      <c r="BO37">
        <v>3024.5279999999998</v>
      </c>
      <c r="BP37">
        <v>245.97</v>
      </c>
      <c r="BQ37">
        <v>8762.64</v>
      </c>
      <c r="BR37" s="2">
        <v>0.39405000000000001</v>
      </c>
      <c r="BS37" s="2">
        <v>0.18523000000000001</v>
      </c>
      <c r="BT37">
        <v>-14.95</v>
      </c>
      <c r="BU37" s="2">
        <v>-2.4540000000000003E-2</v>
      </c>
      <c r="BV37" s="2">
        <v>4.1680000000000002E-2</v>
      </c>
      <c r="BW37">
        <v>12.760999999999999</v>
      </c>
      <c r="BX37">
        <v>374.36200000000002</v>
      </c>
      <c r="BY37">
        <v>1728</v>
      </c>
      <c r="BZ37">
        <v>141</v>
      </c>
      <c r="CA37">
        <v>4603.2740000000003</v>
      </c>
      <c r="CB37" s="2">
        <v>0.23</v>
      </c>
      <c r="CC37" s="2">
        <v>9.7309999999999994E-2</v>
      </c>
      <c r="CD37" s="2">
        <v>1.329E-2</v>
      </c>
      <c r="CE37">
        <v>17.806000000000001</v>
      </c>
      <c r="CF37">
        <v>1357.644</v>
      </c>
      <c r="CG37">
        <v>326.959</v>
      </c>
      <c r="CH37">
        <v>26.59</v>
      </c>
      <c r="CI37">
        <v>16694.041000000001</v>
      </c>
      <c r="CJ37" s="2">
        <v>-0.1091</v>
      </c>
      <c r="CK37">
        <v>-3.8069999999999999</v>
      </c>
      <c r="CL37">
        <v>382.27600000000001</v>
      </c>
      <c r="CM37">
        <v>31.088999999999999</v>
      </c>
      <c r="CN37" s="2">
        <v>4.2599999999999999E-2</v>
      </c>
      <c r="CO37" s="2">
        <v>0.35289999999999999</v>
      </c>
      <c r="CP37">
        <v>108.367</v>
      </c>
      <c r="CQ37">
        <v>33.950000000000003</v>
      </c>
      <c r="CR37">
        <v>0.03</v>
      </c>
      <c r="CS37" s="2">
        <v>9.8619999999999999E-2</v>
      </c>
      <c r="CT37">
        <v>9.7240000000000002</v>
      </c>
      <c r="CU37">
        <v>417</v>
      </c>
      <c r="CV37">
        <v>0</v>
      </c>
      <c r="CW37">
        <v>1332.52</v>
      </c>
      <c r="CX37" s="2">
        <v>5.4390000000000001E-2</v>
      </c>
      <c r="CY37" s="2">
        <v>5.0000000000000002E-5</v>
      </c>
      <c r="CZ37" s="2">
        <v>2.8170000000000001E-2</v>
      </c>
      <c r="DA37">
        <v>7675.4920000000002</v>
      </c>
      <c r="DB37">
        <v>3847.1509999999998</v>
      </c>
      <c r="DC37" s="2">
        <v>7.3480000000000004E-2</v>
      </c>
      <c r="DD37">
        <v>26.114999999999998</v>
      </c>
      <c r="DE37">
        <v>338.26100000000002</v>
      </c>
      <c r="DF37">
        <v>1296.1559999999999</v>
      </c>
      <c r="DG37">
        <v>105.41</v>
      </c>
      <c r="DH37">
        <v>4159.3649999999998</v>
      </c>
      <c r="DI37" s="2">
        <v>0.16886999999999999</v>
      </c>
      <c r="DJ37" s="2">
        <v>8.7919999999999998E-2</v>
      </c>
      <c r="DK37" s="2">
        <v>0.78153000000000006</v>
      </c>
      <c r="DL37">
        <v>14.451000000000001</v>
      </c>
      <c r="DM37">
        <v>33.204000000000001</v>
      </c>
      <c r="DN37">
        <v>147.06399999999999</v>
      </c>
      <c r="DO37">
        <v>11.96</v>
      </c>
      <c r="DP37">
        <v>408.29</v>
      </c>
      <c r="DQ37" s="2">
        <v>1.916E-2</v>
      </c>
      <c r="DR37" s="2">
        <v>8.6300000000000005E-3</v>
      </c>
      <c r="DS37" s="2">
        <v>-2.215E-2</v>
      </c>
      <c r="DT37">
        <v>-3.0979999999999999</v>
      </c>
      <c r="DU37">
        <v>106.99</v>
      </c>
      <c r="DV37">
        <v>474</v>
      </c>
      <c r="DW37">
        <v>38.549999999999997</v>
      </c>
      <c r="DX37">
        <v>1315.587</v>
      </c>
      <c r="DY37" s="2">
        <v>6.1760000000000002E-2</v>
      </c>
      <c r="DZ37" s="2">
        <v>2.7810000000000001E-2</v>
      </c>
    </row>
    <row r="38" spans="1:130" x14ac:dyDescent="0.3">
      <c r="A38" t="s">
        <v>166</v>
      </c>
      <c r="B38">
        <v>2011</v>
      </c>
      <c r="C38" t="s">
        <v>167</v>
      </c>
      <c r="D38" s="1">
        <v>62775272</v>
      </c>
      <c r="E38" s="1">
        <v>2393401982976</v>
      </c>
      <c r="F38" s="1">
        <v>2393401.9829759998</v>
      </c>
      <c r="G38" s="2">
        <v>-1.221E-2</v>
      </c>
      <c r="H38">
        <v>-0.33400000000000002</v>
      </c>
      <c r="I38">
        <v>430.12299999999999</v>
      </c>
      <c r="J38">
        <v>27.001000000000001</v>
      </c>
      <c r="K38">
        <v>80</v>
      </c>
      <c r="L38">
        <v>5.04</v>
      </c>
      <c r="M38" s="2">
        <v>8.8800000000000007E-3</v>
      </c>
      <c r="N38" s="2">
        <v>9.3200000000000002E-3</v>
      </c>
      <c r="O38">
        <v>74.388999999999996</v>
      </c>
      <c r="P38" s="2">
        <v>-0.10421</v>
      </c>
      <c r="Q38">
        <v>-14.396000000000001</v>
      </c>
      <c r="R38">
        <v>1971.316</v>
      </c>
      <c r="S38">
        <v>123.75</v>
      </c>
      <c r="T38">
        <v>277.02</v>
      </c>
      <c r="U38">
        <v>17.39</v>
      </c>
      <c r="W38">
        <v>0</v>
      </c>
      <c r="X38">
        <v>0</v>
      </c>
      <c r="Y38">
        <v>0</v>
      </c>
      <c r="Z38" s="2">
        <v>3.065E-2</v>
      </c>
      <c r="AA38" s="2">
        <v>4.2720000000000001E-2</v>
      </c>
      <c r="AB38">
        <v>511.01</v>
      </c>
      <c r="AC38">
        <v>567.41999999999996</v>
      </c>
      <c r="AD38" s="2">
        <v>0.27634000000000003</v>
      </c>
      <c r="AE38" s="2">
        <v>-3.4720000000000001E-2</v>
      </c>
      <c r="AF38">
        <v>-104.20399999999999</v>
      </c>
      <c r="AG38">
        <v>46149.175999999999</v>
      </c>
      <c r="AH38">
        <v>1.21</v>
      </c>
      <c r="AI38" s="2">
        <v>-5.9229999999999998E-2</v>
      </c>
      <c r="AJ38">
        <v>-95.569000000000003</v>
      </c>
      <c r="AK38">
        <v>940.02</v>
      </c>
      <c r="AL38">
        <v>59.01</v>
      </c>
      <c r="AM38">
        <v>24179.93</v>
      </c>
      <c r="AN38">
        <v>1517.902</v>
      </c>
      <c r="AO38" s="2">
        <v>0.10400000000000001</v>
      </c>
      <c r="AP38" s="2">
        <v>0.52395000000000003</v>
      </c>
      <c r="AQ38" s="2">
        <v>-0.13205999999999998</v>
      </c>
      <c r="AR38">
        <v>-65.453999999999994</v>
      </c>
      <c r="AS38">
        <v>430.19</v>
      </c>
      <c r="AT38">
        <v>470</v>
      </c>
      <c r="AU38">
        <v>29.49</v>
      </c>
      <c r="AV38">
        <v>6852.8630000000003</v>
      </c>
      <c r="AW38" s="2">
        <v>-0.17361000000000001</v>
      </c>
      <c r="AX38">
        <v>-1.4</v>
      </c>
      <c r="AY38">
        <v>106.136</v>
      </c>
      <c r="AZ38">
        <v>6.6630000000000003</v>
      </c>
      <c r="BA38" s="2">
        <v>5.1970000000000002E-2</v>
      </c>
      <c r="BB38" s="2">
        <v>0.14849000000000001</v>
      </c>
      <c r="BC38">
        <v>42.21</v>
      </c>
      <c r="BD38" s="2">
        <v>-0.28486999999999996</v>
      </c>
      <c r="BE38">
        <v>-50.345999999999997</v>
      </c>
      <c r="BF38">
        <v>123.72199999999999</v>
      </c>
      <c r="BG38">
        <v>728.63099999999997</v>
      </c>
      <c r="BH38">
        <v>45.74</v>
      </c>
      <c r="BI38">
        <v>1970.866</v>
      </c>
      <c r="BJ38" s="2">
        <v>8.0610000000000001E-2</v>
      </c>
      <c r="BK38" s="2">
        <v>4.2709999999999998E-2</v>
      </c>
      <c r="BL38" s="2">
        <v>1.7999999999999998E-4</v>
      </c>
      <c r="BM38">
        <v>-8.6349999999999998</v>
      </c>
      <c r="BN38">
        <v>1379.125</v>
      </c>
      <c r="BO38">
        <v>8098.89</v>
      </c>
      <c r="BP38">
        <v>508.41</v>
      </c>
      <c r="BQ38">
        <v>21969.248</v>
      </c>
      <c r="BR38" s="2">
        <v>0.89599999999999991</v>
      </c>
      <c r="BS38" s="2">
        <v>0.47604999999999997</v>
      </c>
      <c r="BT38">
        <v>-56.41</v>
      </c>
      <c r="BU38" s="2">
        <v>-0.11039</v>
      </c>
      <c r="BV38" s="2">
        <v>3.236E-2</v>
      </c>
      <c r="BW38">
        <v>29.748999999999999</v>
      </c>
      <c r="BX38">
        <v>1171.086</v>
      </c>
      <c r="BY38">
        <v>7047</v>
      </c>
      <c r="BZ38">
        <v>442</v>
      </c>
      <c r="CA38">
        <v>18655.213</v>
      </c>
      <c r="CB38" s="2">
        <v>0.78</v>
      </c>
      <c r="CC38" s="2">
        <v>0.40423999999999999</v>
      </c>
      <c r="CD38" s="2">
        <v>-1.6040000000000002E-2</v>
      </c>
      <c r="CE38">
        <v>-15.718999999999999</v>
      </c>
      <c r="CF38">
        <v>963.96100000000001</v>
      </c>
      <c r="CG38">
        <v>193.22900000000001</v>
      </c>
      <c r="CH38">
        <v>12.13</v>
      </c>
      <c r="CI38">
        <v>15355.748</v>
      </c>
      <c r="CJ38" s="2">
        <v>-1.353E-2</v>
      </c>
      <c r="CK38">
        <v>-0.16</v>
      </c>
      <c r="CL38">
        <v>185.95599999999999</v>
      </c>
      <c r="CM38">
        <v>11.673</v>
      </c>
      <c r="CN38" s="2">
        <v>2.138E-2</v>
      </c>
      <c r="CO38" s="2">
        <v>0.33274000000000004</v>
      </c>
      <c r="CP38">
        <v>17.616</v>
      </c>
      <c r="CQ38">
        <v>5.58</v>
      </c>
      <c r="CR38">
        <v>0.54</v>
      </c>
      <c r="CS38" s="2">
        <v>0.12231</v>
      </c>
      <c r="CT38">
        <v>1.92</v>
      </c>
      <c r="CU38">
        <v>89</v>
      </c>
      <c r="CV38">
        <v>9</v>
      </c>
      <c r="CW38">
        <v>280.61700000000002</v>
      </c>
      <c r="CX38" s="2">
        <v>9.8300000000000002E-3</v>
      </c>
      <c r="CY38" s="2">
        <v>9.5E-4</v>
      </c>
      <c r="CZ38" s="2">
        <v>6.0799999999999995E-3</v>
      </c>
      <c r="DA38">
        <v>9038.9089999999997</v>
      </c>
      <c r="DB38">
        <v>2897.027</v>
      </c>
      <c r="DC38" s="2">
        <v>-0.1305</v>
      </c>
      <c r="DD38">
        <v>-38.383000000000003</v>
      </c>
      <c r="DE38">
        <v>208.03899999999999</v>
      </c>
      <c r="DF38">
        <v>1051.6880000000001</v>
      </c>
      <c r="DG38">
        <v>66.02</v>
      </c>
      <c r="DH38">
        <v>3314.0360000000001</v>
      </c>
      <c r="DI38" s="2">
        <v>0.11635</v>
      </c>
      <c r="DJ38" s="2">
        <v>7.1809999999999999E-2</v>
      </c>
      <c r="DK38" s="2">
        <v>2.3513600000000001</v>
      </c>
      <c r="DL38">
        <v>4.0110000000000001</v>
      </c>
      <c r="DM38">
        <v>5.7320000000000002</v>
      </c>
      <c r="DN38">
        <v>37.116999999999997</v>
      </c>
      <c r="DO38">
        <v>2.33</v>
      </c>
      <c r="DP38">
        <v>91.311000000000007</v>
      </c>
      <c r="DQ38" s="2">
        <v>4.1099999999999999E-3</v>
      </c>
      <c r="DR38" s="2">
        <v>1.98E-3</v>
      </c>
      <c r="DS38" s="2">
        <v>0.23816999999999999</v>
      </c>
      <c r="DT38">
        <v>6.3659999999999997</v>
      </c>
      <c r="DU38">
        <v>33.969000000000001</v>
      </c>
      <c r="DV38">
        <v>197</v>
      </c>
      <c r="DW38">
        <v>12.37</v>
      </c>
      <c r="DX38">
        <v>541.11900000000003</v>
      </c>
      <c r="DY38" s="2">
        <v>2.18E-2</v>
      </c>
      <c r="DZ38" s="2">
        <v>1.1730000000000001E-2</v>
      </c>
    </row>
    <row r="39" spans="1:130" x14ac:dyDescent="0.3">
      <c r="A39" t="s">
        <v>165</v>
      </c>
      <c r="B39">
        <v>2011</v>
      </c>
      <c r="C39" t="s">
        <v>168</v>
      </c>
      <c r="D39" s="1">
        <v>81423384</v>
      </c>
      <c r="E39" s="1">
        <v>3467712921600</v>
      </c>
      <c r="F39" s="1">
        <v>3467712.9216</v>
      </c>
      <c r="G39" s="2">
        <v>4.1410000000000002E-2</v>
      </c>
      <c r="H39">
        <v>1.306</v>
      </c>
      <c r="I39">
        <v>403.42599999999999</v>
      </c>
      <c r="J39">
        <v>32.847999999999999</v>
      </c>
      <c r="K39">
        <v>453</v>
      </c>
      <c r="L39">
        <v>36.89</v>
      </c>
      <c r="M39" s="2">
        <v>6.0979999999999999E-2</v>
      </c>
      <c r="N39" s="2">
        <v>8.8500000000000002E-3</v>
      </c>
      <c r="O39">
        <v>529.66899999999998</v>
      </c>
      <c r="P39" s="2">
        <v>1.6310000000000002E-2</v>
      </c>
      <c r="Q39">
        <v>14.619</v>
      </c>
      <c r="R39">
        <v>11185.866</v>
      </c>
      <c r="S39">
        <v>910.79100000000005</v>
      </c>
      <c r="T39">
        <v>3223.3980000000001</v>
      </c>
      <c r="U39">
        <v>262.45999999999998</v>
      </c>
      <c r="V39" s="2">
        <v>1.8149999999999999E-2</v>
      </c>
      <c r="W39">
        <v>9.6880000000000006</v>
      </c>
      <c r="X39">
        <v>6674.7709999999997</v>
      </c>
      <c r="Y39">
        <v>543.48199999999997</v>
      </c>
      <c r="Z39" s="2">
        <v>0.43381999999999998</v>
      </c>
      <c r="AA39" s="2">
        <v>0.24545999999999998</v>
      </c>
      <c r="AB39">
        <v>601.23</v>
      </c>
      <c r="AC39">
        <v>605</v>
      </c>
      <c r="AD39" s="2">
        <v>0.18345</v>
      </c>
      <c r="AE39" s="2">
        <v>-3.5499999999999997E-2</v>
      </c>
      <c r="AF39">
        <v>-136.56700000000001</v>
      </c>
      <c r="AG39">
        <v>45571.483999999997</v>
      </c>
      <c r="AH39">
        <v>1.07</v>
      </c>
      <c r="AI39" s="2">
        <v>-3.2500000000000001E-2</v>
      </c>
      <c r="AJ39">
        <v>-101.86</v>
      </c>
      <c r="AK39">
        <v>4576.0810000000001</v>
      </c>
      <c r="AL39">
        <v>372.6</v>
      </c>
      <c r="AM39">
        <v>37245.68</v>
      </c>
      <c r="AN39">
        <v>3032.6689999999999</v>
      </c>
      <c r="AO39" s="2">
        <v>0.61587000000000003</v>
      </c>
      <c r="AP39" s="2">
        <v>0.81730000000000003</v>
      </c>
      <c r="AQ39" s="2">
        <v>-8.1869999999999998E-2</v>
      </c>
      <c r="AR39">
        <v>-72.105000000000004</v>
      </c>
      <c r="AS39">
        <v>808.60699999999997</v>
      </c>
      <c r="AT39">
        <v>1052</v>
      </c>
      <c r="AU39">
        <v>85.67</v>
      </c>
      <c r="AV39">
        <v>9930.8960000000006</v>
      </c>
      <c r="AW39" s="2">
        <v>-5.9200000000000003E-2</v>
      </c>
      <c r="AX39">
        <v>-6.585</v>
      </c>
      <c r="AY39">
        <v>1285.3130000000001</v>
      </c>
      <c r="AZ39">
        <v>104.655</v>
      </c>
      <c r="BA39" s="2">
        <v>0.1416</v>
      </c>
      <c r="BB39" s="2">
        <v>0.21792</v>
      </c>
      <c r="BC39">
        <v>320.45</v>
      </c>
      <c r="BD39" s="2">
        <v>-0.15664</v>
      </c>
      <c r="BE39">
        <v>-9.4090000000000007</v>
      </c>
      <c r="BF39">
        <v>48.747999999999998</v>
      </c>
      <c r="BG39">
        <v>217.01400000000001</v>
      </c>
      <c r="BH39">
        <v>17.670000000000002</v>
      </c>
      <c r="BI39">
        <v>598.70000000000005</v>
      </c>
      <c r="BJ39" s="2">
        <v>2.921E-2</v>
      </c>
      <c r="BK39" s="2">
        <v>1.3140000000000001E-2</v>
      </c>
      <c r="BL39" s="2">
        <v>-4.4199999999999996E-2</v>
      </c>
      <c r="BM39">
        <v>-34.707000000000001</v>
      </c>
      <c r="BN39">
        <v>677.91600000000005</v>
      </c>
      <c r="BO39">
        <v>2854.2170000000001</v>
      </c>
      <c r="BP39">
        <v>232.4</v>
      </c>
      <c r="BQ39">
        <v>8325.8089999999993</v>
      </c>
      <c r="BR39" s="2">
        <v>0.38412999999999997</v>
      </c>
      <c r="BS39" s="2">
        <v>0.1827</v>
      </c>
      <c r="BT39">
        <v>-3.77</v>
      </c>
      <c r="BU39" s="2">
        <v>-6.2700000000000004E-3</v>
      </c>
      <c r="BV39" s="2">
        <v>-0.23183000000000001</v>
      </c>
      <c r="BW39">
        <v>-88.540999999999997</v>
      </c>
      <c r="BX39">
        <v>285.82100000000003</v>
      </c>
      <c r="BY39">
        <v>1326</v>
      </c>
      <c r="BZ39">
        <v>108</v>
      </c>
      <c r="CA39">
        <v>3510.3029999999999</v>
      </c>
      <c r="CB39" s="2">
        <v>0.18</v>
      </c>
      <c r="CC39" s="2">
        <v>7.7030000000000001E-2</v>
      </c>
      <c r="CD39" s="2">
        <v>-3.2680000000000001E-2</v>
      </c>
      <c r="CE39">
        <v>-44.372999999999998</v>
      </c>
      <c r="CF39">
        <v>1313.271</v>
      </c>
      <c r="CG39">
        <v>300.52800000000002</v>
      </c>
      <c r="CH39">
        <v>24.47</v>
      </c>
      <c r="CI39">
        <v>16128.915000000001</v>
      </c>
      <c r="CJ39" s="2">
        <v>4.0819999999999995E-2</v>
      </c>
      <c r="CK39">
        <v>1.2689999999999999</v>
      </c>
      <c r="CL39">
        <v>397.399</v>
      </c>
      <c r="CM39">
        <v>32.357999999999997</v>
      </c>
      <c r="CN39" s="2">
        <v>4.045E-2</v>
      </c>
      <c r="CO39" s="2">
        <v>0.35393000000000002</v>
      </c>
      <c r="CP39">
        <v>117.812</v>
      </c>
      <c r="CQ39">
        <v>36.909999999999997</v>
      </c>
      <c r="CR39">
        <v>0.02</v>
      </c>
      <c r="CS39" s="2">
        <v>8.7100000000000011E-2</v>
      </c>
      <c r="CT39">
        <v>9.4440000000000008</v>
      </c>
      <c r="CU39">
        <v>453</v>
      </c>
      <c r="CV39">
        <v>0</v>
      </c>
      <c r="CW39">
        <v>1446.903</v>
      </c>
      <c r="CX39" s="2">
        <v>6.1010000000000002E-2</v>
      </c>
      <c r="CY39" s="2">
        <v>3.0000000000000001E-5</v>
      </c>
      <c r="CZ39" s="2">
        <v>3.175E-2</v>
      </c>
      <c r="DA39">
        <v>7430.2969999999996</v>
      </c>
      <c r="DB39">
        <v>3710.5839999999998</v>
      </c>
      <c r="DC39" s="2">
        <v>0.14835999999999999</v>
      </c>
      <c r="DD39">
        <v>53.834000000000003</v>
      </c>
      <c r="DE39">
        <v>392.09500000000003</v>
      </c>
      <c r="DF39">
        <v>1528.1849999999999</v>
      </c>
      <c r="DG39">
        <v>124.43</v>
      </c>
      <c r="DH39">
        <v>4815.5060000000003</v>
      </c>
      <c r="DI39" s="2">
        <v>0.20566999999999999</v>
      </c>
      <c r="DJ39" s="2">
        <v>0.10567</v>
      </c>
      <c r="DK39" s="2">
        <v>0.67106999999999994</v>
      </c>
      <c r="DL39">
        <v>21.943999999999999</v>
      </c>
      <c r="DM39">
        <v>55.148000000000003</v>
      </c>
      <c r="DN39">
        <v>245.50700000000001</v>
      </c>
      <c r="DO39">
        <v>19.989999999999998</v>
      </c>
      <c r="DP39">
        <v>677.30200000000002</v>
      </c>
      <c r="DQ39" s="2">
        <v>3.304E-2</v>
      </c>
      <c r="DR39" s="2">
        <v>1.486E-2</v>
      </c>
      <c r="DS39" s="2">
        <v>0.29341</v>
      </c>
      <c r="DT39">
        <v>30.547999999999998</v>
      </c>
      <c r="DU39">
        <v>137.53800000000001</v>
      </c>
      <c r="DV39">
        <v>612</v>
      </c>
      <c r="DW39">
        <v>49.86</v>
      </c>
      <c r="DX39">
        <v>1689.174</v>
      </c>
      <c r="DY39" s="2">
        <v>8.2409999999999997E-2</v>
      </c>
      <c r="DZ39" s="2">
        <v>3.7069999999999999E-2</v>
      </c>
    </row>
    <row r="40" spans="1:130" x14ac:dyDescent="0.3">
      <c r="A40" t="s">
        <v>166</v>
      </c>
      <c r="B40">
        <v>2012</v>
      </c>
      <c r="C40" t="s">
        <v>167</v>
      </c>
      <c r="D40" s="1">
        <v>63071412</v>
      </c>
      <c r="E40" s="1">
        <v>2400896417792</v>
      </c>
      <c r="F40" s="1">
        <v>2400896.4177919999</v>
      </c>
      <c r="G40" s="2">
        <v>9.4750000000000001E-2</v>
      </c>
      <c r="H40">
        <v>2.5579999999999998</v>
      </c>
      <c r="I40">
        <v>468.66699999999997</v>
      </c>
      <c r="J40">
        <v>29.559000000000001</v>
      </c>
      <c r="K40">
        <v>84</v>
      </c>
      <c r="L40">
        <v>5.3</v>
      </c>
      <c r="M40" s="2">
        <v>9.3400000000000011E-3</v>
      </c>
      <c r="N40" s="2">
        <v>1.0209999999999999E-2</v>
      </c>
      <c r="O40">
        <v>77.593000000000004</v>
      </c>
      <c r="P40" s="2">
        <v>0.11151</v>
      </c>
      <c r="Q40">
        <v>13.798999999999999</v>
      </c>
      <c r="R40">
        <v>2180.8510000000001</v>
      </c>
      <c r="S40">
        <v>137.54900000000001</v>
      </c>
      <c r="T40">
        <v>340.24900000000002</v>
      </c>
      <c r="U40">
        <v>21.46</v>
      </c>
      <c r="W40">
        <v>0</v>
      </c>
      <c r="X40">
        <v>0</v>
      </c>
      <c r="Y40">
        <v>0</v>
      </c>
      <c r="Z40" s="2">
        <v>3.7810000000000003E-2</v>
      </c>
      <c r="AA40" s="2">
        <v>4.7530000000000003E-2</v>
      </c>
      <c r="AB40">
        <v>523.05999999999995</v>
      </c>
      <c r="AC40">
        <v>567.58000000000004</v>
      </c>
      <c r="AD40" s="2">
        <v>0.27640999999999999</v>
      </c>
      <c r="AE40" s="2">
        <v>-1.0399999999999999E-3</v>
      </c>
      <c r="AF40">
        <v>-3</v>
      </c>
      <c r="AG40">
        <v>45884.934000000001</v>
      </c>
      <c r="AH40">
        <v>1.2050000000000001</v>
      </c>
      <c r="AI40" s="2">
        <v>-3.1199999999999999E-3</v>
      </c>
      <c r="AJ40">
        <v>-4.7309999999999999</v>
      </c>
      <c r="AK40">
        <v>902.46900000000005</v>
      </c>
      <c r="AL40">
        <v>56.92</v>
      </c>
      <c r="AM40">
        <v>23991.393</v>
      </c>
      <c r="AN40">
        <v>1513.171</v>
      </c>
      <c r="AO40" s="2">
        <v>0.10029</v>
      </c>
      <c r="AP40" s="2">
        <v>0.52285999999999999</v>
      </c>
      <c r="AQ40" s="2">
        <v>3.313E-2</v>
      </c>
      <c r="AR40">
        <v>14.253</v>
      </c>
      <c r="AS40">
        <v>444.44299999999998</v>
      </c>
      <c r="AT40">
        <v>361</v>
      </c>
      <c r="AU40">
        <v>22.75</v>
      </c>
      <c r="AV40">
        <v>7046.6629999999996</v>
      </c>
      <c r="AW40" s="2">
        <v>-0.12376</v>
      </c>
      <c r="AX40">
        <v>-0.82499999999999996</v>
      </c>
      <c r="AY40">
        <v>92.563999999999993</v>
      </c>
      <c r="AZ40">
        <v>5.8380000000000001</v>
      </c>
      <c r="BA40" s="2">
        <v>4.0079999999999998E-2</v>
      </c>
      <c r="BB40" s="2">
        <v>0.15356999999999998</v>
      </c>
      <c r="BC40">
        <v>44.04</v>
      </c>
      <c r="BD40" s="2">
        <v>0.31065999999999999</v>
      </c>
      <c r="BE40">
        <v>37.453000000000003</v>
      </c>
      <c r="BF40">
        <v>161.17400000000001</v>
      </c>
      <c r="BG40">
        <v>948.60699999999997</v>
      </c>
      <c r="BH40">
        <v>59.83</v>
      </c>
      <c r="BI40">
        <v>2555.4270000000001</v>
      </c>
      <c r="BJ40" s="2">
        <v>0.10541</v>
      </c>
      <c r="BK40" s="2">
        <v>5.5689999999999996E-2</v>
      </c>
      <c r="BL40" s="2">
        <v>8.3899999999999999E-3</v>
      </c>
      <c r="BM40">
        <v>1.7310000000000001</v>
      </c>
      <c r="BN40">
        <v>1380.857</v>
      </c>
      <c r="BO40">
        <v>8096.5370000000003</v>
      </c>
      <c r="BP40">
        <v>510.66</v>
      </c>
      <c r="BQ40">
        <v>21893.543000000001</v>
      </c>
      <c r="BR40" s="2">
        <v>0.89971000000000001</v>
      </c>
      <c r="BS40" s="2">
        <v>0.47714000000000001</v>
      </c>
      <c r="BT40">
        <v>-44.52</v>
      </c>
      <c r="BU40" s="2">
        <v>-8.5109999999999991E-2</v>
      </c>
      <c r="BV40" s="2">
        <v>-3.8390000000000001E-2</v>
      </c>
      <c r="BW40">
        <v>-51.779000000000003</v>
      </c>
      <c r="BX40">
        <v>1119.307</v>
      </c>
      <c r="BY40">
        <v>6745</v>
      </c>
      <c r="BZ40">
        <v>425</v>
      </c>
      <c r="CA40">
        <v>17746.664000000001</v>
      </c>
      <c r="CB40" s="2">
        <v>0.75</v>
      </c>
      <c r="CC40" s="2">
        <v>0.38675999999999999</v>
      </c>
      <c r="CD40" s="2">
        <v>-3.4009999999999999E-2</v>
      </c>
      <c r="CE40">
        <v>-32.783000000000001</v>
      </c>
      <c r="CF40">
        <v>931.17899999999997</v>
      </c>
      <c r="CG40">
        <v>201.518</v>
      </c>
      <c r="CH40">
        <v>12.71</v>
      </c>
      <c r="CI40">
        <v>14763.879000000001</v>
      </c>
      <c r="CJ40" s="2">
        <v>-8.2479999999999998E-2</v>
      </c>
      <c r="CK40">
        <v>-0.96299999999999997</v>
      </c>
      <c r="CL40">
        <v>169.81800000000001</v>
      </c>
      <c r="CM40">
        <v>10.711</v>
      </c>
      <c r="CN40" s="2">
        <v>2.239E-2</v>
      </c>
      <c r="CO40" s="2">
        <v>0.32176000000000005</v>
      </c>
      <c r="CP40">
        <v>18.378</v>
      </c>
      <c r="CQ40">
        <v>5.81</v>
      </c>
      <c r="CR40">
        <v>0.51</v>
      </c>
      <c r="CS40" s="2">
        <v>4.3270000000000003E-2</v>
      </c>
      <c r="CT40">
        <v>0.76200000000000001</v>
      </c>
      <c r="CU40">
        <v>92</v>
      </c>
      <c r="CV40">
        <v>8</v>
      </c>
      <c r="CW40">
        <v>291.38600000000002</v>
      </c>
      <c r="CX40" s="2">
        <v>1.0240000000000001E-2</v>
      </c>
      <c r="CY40" s="2">
        <v>8.9999999999999998E-4</v>
      </c>
      <c r="CZ40" s="2">
        <v>6.3499999999999997E-3</v>
      </c>
      <c r="DA40">
        <v>8999.0059999999994</v>
      </c>
      <c r="DB40">
        <v>2894.0279999999998</v>
      </c>
      <c r="DC40" s="2">
        <v>0.2339</v>
      </c>
      <c r="DD40">
        <v>53.51</v>
      </c>
      <c r="DE40">
        <v>261.55</v>
      </c>
      <c r="DF40">
        <v>1351.6420000000001</v>
      </c>
      <c r="DG40">
        <v>85.25</v>
      </c>
      <c r="DH40">
        <v>4146.8810000000003</v>
      </c>
      <c r="DI40" s="2">
        <v>0.1502</v>
      </c>
      <c r="DJ40" s="2">
        <v>9.0380000000000002E-2</v>
      </c>
      <c r="DK40" s="2">
        <v>0.93293000000000004</v>
      </c>
      <c r="DL40">
        <v>5.28</v>
      </c>
      <c r="DM40">
        <v>11.013</v>
      </c>
      <c r="DN40">
        <v>70.238</v>
      </c>
      <c r="DO40">
        <v>4.43</v>
      </c>
      <c r="DP40">
        <v>174.60400000000001</v>
      </c>
      <c r="DQ40" s="2">
        <v>7.8100000000000001E-3</v>
      </c>
      <c r="DR40" s="2">
        <v>3.81E-3</v>
      </c>
      <c r="DS40" s="2">
        <v>0.22694</v>
      </c>
      <c r="DT40">
        <v>7.4560000000000004</v>
      </c>
      <c r="DU40">
        <v>41.424999999999997</v>
      </c>
      <c r="DV40">
        <v>241</v>
      </c>
      <c r="DW40">
        <v>15.18</v>
      </c>
      <c r="DX40">
        <v>656.79700000000003</v>
      </c>
      <c r="DY40" s="2">
        <v>2.6749999999999999E-2</v>
      </c>
      <c r="DZ40" s="2">
        <v>1.431E-2</v>
      </c>
    </row>
    <row r="41" spans="1:130" x14ac:dyDescent="0.3">
      <c r="A41" t="s">
        <v>165</v>
      </c>
      <c r="B41">
        <v>2012</v>
      </c>
      <c r="C41" t="s">
        <v>168</v>
      </c>
      <c r="D41" s="1">
        <v>81545568</v>
      </c>
      <c r="E41" s="1">
        <v>3482225475584</v>
      </c>
      <c r="F41" s="1">
        <v>3482225.4755839999</v>
      </c>
      <c r="G41" s="2">
        <v>6.5279999999999991E-2</v>
      </c>
      <c r="H41">
        <v>2.1440000000000001</v>
      </c>
      <c r="I41">
        <v>429.11700000000002</v>
      </c>
      <c r="J41">
        <v>34.993000000000002</v>
      </c>
      <c r="K41">
        <v>530</v>
      </c>
      <c r="L41">
        <v>43.2</v>
      </c>
      <c r="M41" s="2">
        <v>6.9699999999999998E-2</v>
      </c>
      <c r="N41" s="2">
        <v>9.300000000000001E-3</v>
      </c>
      <c r="O41">
        <v>534.16399999999999</v>
      </c>
      <c r="P41" s="2">
        <v>2.7759999999999996E-2</v>
      </c>
      <c r="Q41">
        <v>25.283000000000001</v>
      </c>
      <c r="R41">
        <v>11479.154</v>
      </c>
      <c r="S41">
        <v>936.07399999999996</v>
      </c>
      <c r="T41">
        <v>3387.431</v>
      </c>
      <c r="U41">
        <v>276.23</v>
      </c>
      <c r="V41" s="2">
        <v>2.2290000000000001E-2</v>
      </c>
      <c r="W41">
        <v>12.113</v>
      </c>
      <c r="X41">
        <v>6813.3109999999997</v>
      </c>
      <c r="Y41">
        <v>555.59500000000003</v>
      </c>
      <c r="Z41" s="2">
        <v>0.44567000000000001</v>
      </c>
      <c r="AA41" s="2">
        <v>0.24883</v>
      </c>
      <c r="AB41">
        <v>599.27</v>
      </c>
      <c r="AC41">
        <v>619.80999999999995</v>
      </c>
      <c r="AD41" s="2">
        <v>0.18611</v>
      </c>
      <c r="AE41" s="2">
        <v>1.383E-2</v>
      </c>
      <c r="AF41">
        <v>51.332000000000001</v>
      </c>
      <c r="AG41">
        <v>46132.684000000001</v>
      </c>
      <c r="AH41">
        <v>1.08</v>
      </c>
      <c r="AI41" s="2">
        <v>6.5599999999999999E-3</v>
      </c>
      <c r="AJ41">
        <v>19.895</v>
      </c>
      <c r="AK41">
        <v>4622.5690000000004</v>
      </c>
      <c r="AL41">
        <v>376.95</v>
      </c>
      <c r="AM41">
        <v>37433.843999999997</v>
      </c>
      <c r="AN41">
        <v>3052.5639999999999</v>
      </c>
      <c r="AO41" s="2">
        <v>0.60816999999999999</v>
      </c>
      <c r="AP41" s="2">
        <v>0.81144000000000005</v>
      </c>
      <c r="AQ41" s="2">
        <v>3.0799999999999998E-3</v>
      </c>
      <c r="AR41">
        <v>2.4929999999999999</v>
      </c>
      <c r="AS41">
        <v>811.101</v>
      </c>
      <c r="AT41">
        <v>931</v>
      </c>
      <c r="AU41">
        <v>75.95</v>
      </c>
      <c r="AV41">
        <v>9946.5930000000008</v>
      </c>
      <c r="AW41" s="2">
        <v>-9.5939999999999998E-2</v>
      </c>
      <c r="AX41">
        <v>-10.041</v>
      </c>
      <c r="AY41">
        <v>1160.2560000000001</v>
      </c>
      <c r="AZ41">
        <v>94.614000000000004</v>
      </c>
      <c r="BA41" s="2">
        <v>0.12254</v>
      </c>
      <c r="BB41" s="2">
        <v>0.21561</v>
      </c>
      <c r="BC41">
        <v>331.08</v>
      </c>
      <c r="BD41" s="2">
        <v>0.23111000000000001</v>
      </c>
      <c r="BE41">
        <v>10.903</v>
      </c>
      <c r="BF41">
        <v>59.651000000000003</v>
      </c>
      <c r="BG41">
        <v>266.72199999999998</v>
      </c>
      <c r="BH41">
        <v>21.75</v>
      </c>
      <c r="BI41">
        <v>731.50300000000004</v>
      </c>
      <c r="BJ41" s="2">
        <v>3.5089999999999996E-2</v>
      </c>
      <c r="BK41" s="2">
        <v>1.5859999999999999E-2</v>
      </c>
      <c r="BL41" s="2">
        <v>4.7550000000000002E-2</v>
      </c>
      <c r="BM41">
        <v>31.437000000000001</v>
      </c>
      <c r="BN41">
        <v>709.35199999999998</v>
      </c>
      <c r="BO41">
        <v>2978.212</v>
      </c>
      <c r="BP41">
        <v>242.86</v>
      </c>
      <c r="BQ41">
        <v>8698.8439999999991</v>
      </c>
      <c r="BR41" s="2">
        <v>0.39183000000000001</v>
      </c>
      <c r="BS41" s="2">
        <v>0.18856000000000001</v>
      </c>
      <c r="BT41">
        <v>-20.54</v>
      </c>
      <c r="BU41" s="2">
        <v>-3.4279999999999998E-2</v>
      </c>
      <c r="BV41" s="2">
        <v>-7.8829999999999997E-2</v>
      </c>
      <c r="BW41">
        <v>-24.126999999999999</v>
      </c>
      <c r="BX41">
        <v>261.69400000000002</v>
      </c>
      <c r="BY41">
        <v>1220</v>
      </c>
      <c r="BZ41">
        <v>99</v>
      </c>
      <c r="CA41">
        <v>3209.1770000000001</v>
      </c>
      <c r="CB41" s="2">
        <v>0.16</v>
      </c>
      <c r="CC41" s="2">
        <v>6.9560000000000011E-2</v>
      </c>
      <c r="CD41" s="2">
        <v>-6.0000000000000001E-3</v>
      </c>
      <c r="CE41">
        <v>-7.8819999999999997</v>
      </c>
      <c r="CF41">
        <v>1305.3889999999999</v>
      </c>
      <c r="CG41">
        <v>303.75700000000001</v>
      </c>
      <c r="CH41">
        <v>24.77</v>
      </c>
      <c r="CI41">
        <v>16008.096</v>
      </c>
      <c r="CJ41" s="2">
        <v>2.7400000000000002E-3</v>
      </c>
      <c r="CK41">
        <v>8.8999999999999996E-2</v>
      </c>
      <c r="CL41">
        <v>397.89100000000002</v>
      </c>
      <c r="CM41">
        <v>32.445999999999998</v>
      </c>
      <c r="CN41" s="2">
        <v>3.9960000000000002E-2</v>
      </c>
      <c r="CO41" s="2">
        <v>0.34700000000000003</v>
      </c>
      <c r="CP41">
        <v>137.98099999999999</v>
      </c>
      <c r="CQ41">
        <v>43.23</v>
      </c>
      <c r="CR41">
        <v>0.03</v>
      </c>
      <c r="CS41" s="2">
        <v>0.17122000000000001</v>
      </c>
      <c r="CT41">
        <v>20.169</v>
      </c>
      <c r="CU41">
        <v>530</v>
      </c>
      <c r="CV41">
        <v>0</v>
      </c>
      <c r="CW41">
        <v>1692.0740000000001</v>
      </c>
      <c r="CX41" s="2">
        <v>6.9749999999999993E-2</v>
      </c>
      <c r="CY41" s="2">
        <v>5.0000000000000002E-5</v>
      </c>
      <c r="CZ41" s="2">
        <v>3.6680000000000004E-2</v>
      </c>
      <c r="DA41">
        <v>7600.7809999999999</v>
      </c>
      <c r="DB41">
        <v>3761.9160000000002</v>
      </c>
      <c r="DC41" s="2">
        <v>0.13430999999999998</v>
      </c>
      <c r="DD41">
        <v>55.563000000000002</v>
      </c>
      <c r="DE41">
        <v>447.65800000000002</v>
      </c>
      <c r="DF41">
        <v>1758.5260000000001</v>
      </c>
      <c r="DG41">
        <v>143.4</v>
      </c>
      <c r="DH41">
        <v>5489.6670000000004</v>
      </c>
      <c r="DI41" s="2">
        <v>0.23135999999999998</v>
      </c>
      <c r="DJ41" s="2">
        <v>0.11900000000000001</v>
      </c>
      <c r="DK41" s="2">
        <v>0.33779999999999999</v>
      </c>
      <c r="DL41">
        <v>18.181999999999999</v>
      </c>
      <c r="DM41">
        <v>73.33</v>
      </c>
      <c r="DN41">
        <v>327.91500000000002</v>
      </c>
      <c r="DO41">
        <v>26.74</v>
      </c>
      <c r="DP41">
        <v>899.25599999999997</v>
      </c>
      <c r="DQ41" s="2">
        <v>4.3139999999999998E-2</v>
      </c>
      <c r="DR41" s="2">
        <v>1.949E-2</v>
      </c>
      <c r="DS41" s="2">
        <v>3.6560000000000002E-2</v>
      </c>
      <c r="DT41">
        <v>4.165</v>
      </c>
      <c r="DU41">
        <v>141.703</v>
      </c>
      <c r="DV41">
        <v>634</v>
      </c>
      <c r="DW41">
        <v>51.68</v>
      </c>
      <c r="DX41">
        <v>1737.7180000000001</v>
      </c>
      <c r="DY41" s="2">
        <v>8.3379999999999996E-2</v>
      </c>
      <c r="DZ41" s="2">
        <v>3.7670000000000002E-2</v>
      </c>
    </row>
    <row r="42" spans="1:130" x14ac:dyDescent="0.3">
      <c r="A42" t="s">
        <v>166</v>
      </c>
      <c r="B42">
        <v>2013</v>
      </c>
      <c r="C42" t="s">
        <v>167</v>
      </c>
      <c r="D42" s="1">
        <v>63335180</v>
      </c>
      <c r="E42" s="1">
        <v>2414733688832</v>
      </c>
      <c r="F42" s="1">
        <v>2414733.6888319999</v>
      </c>
      <c r="G42" s="2">
        <v>1.8520000000000002E-2</v>
      </c>
      <c r="H42">
        <v>0.54700000000000004</v>
      </c>
      <c r="I42">
        <v>475.35700000000003</v>
      </c>
      <c r="J42">
        <v>30.106999999999999</v>
      </c>
      <c r="K42">
        <v>90</v>
      </c>
      <c r="L42">
        <v>5.68</v>
      </c>
      <c r="M42" s="2">
        <v>9.8499999999999994E-3</v>
      </c>
      <c r="N42" s="2">
        <v>1.03E-2</v>
      </c>
      <c r="O42">
        <v>76.274000000000001</v>
      </c>
      <c r="P42" s="2">
        <v>6.2199999999999998E-2</v>
      </c>
      <c r="Q42">
        <v>8.5549999999999997</v>
      </c>
      <c r="R42">
        <v>2306.8510000000001</v>
      </c>
      <c r="S42">
        <v>146.10499999999999</v>
      </c>
      <c r="T42">
        <v>376.41</v>
      </c>
      <c r="U42">
        <v>23.84</v>
      </c>
      <c r="W42">
        <v>0</v>
      </c>
      <c r="X42">
        <v>0</v>
      </c>
      <c r="Y42">
        <v>0</v>
      </c>
      <c r="Z42" s="2">
        <v>4.1340000000000002E-2</v>
      </c>
      <c r="AA42" s="2">
        <v>4.9960000000000004E-2</v>
      </c>
      <c r="AB42">
        <v>528.28</v>
      </c>
      <c r="AC42">
        <v>576.74</v>
      </c>
      <c r="AD42" s="2">
        <v>0.27861999999999998</v>
      </c>
      <c r="AE42" s="2">
        <v>1.0409999999999999E-2</v>
      </c>
      <c r="AF42">
        <v>30.117999999999999</v>
      </c>
      <c r="AG42">
        <v>46169.375</v>
      </c>
      <c r="AH42">
        <v>1.2110000000000001</v>
      </c>
      <c r="AI42" s="2">
        <v>2.3899999999999998E-3</v>
      </c>
      <c r="AJ42">
        <v>3.61</v>
      </c>
      <c r="AK42">
        <v>846.923</v>
      </c>
      <c r="AL42">
        <v>53.64</v>
      </c>
      <c r="AM42">
        <v>23948.48</v>
      </c>
      <c r="AN42">
        <v>1516.7809999999999</v>
      </c>
      <c r="AO42" s="2">
        <v>9.3009999999999995E-2</v>
      </c>
      <c r="AP42" s="2">
        <v>0.51871</v>
      </c>
      <c r="AQ42" s="2">
        <v>1.5720000000000001E-2</v>
      </c>
      <c r="AR42">
        <v>6.9889999999999999</v>
      </c>
      <c r="AS42">
        <v>451.43200000000002</v>
      </c>
      <c r="AT42">
        <v>290</v>
      </c>
      <c r="AU42">
        <v>18.39</v>
      </c>
      <c r="AV42">
        <v>7127.6580000000004</v>
      </c>
      <c r="AW42" s="2">
        <v>-0.35904000000000003</v>
      </c>
      <c r="AX42">
        <v>-2.0960000000000001</v>
      </c>
      <c r="AY42">
        <v>59.082999999999998</v>
      </c>
      <c r="AZ42">
        <v>3.742</v>
      </c>
      <c r="BA42" s="2">
        <v>3.1890000000000002E-2</v>
      </c>
      <c r="BB42" s="2">
        <v>0.15438000000000002</v>
      </c>
      <c r="BC42">
        <v>43.99</v>
      </c>
      <c r="BD42" s="2">
        <v>0.20518999999999998</v>
      </c>
      <c r="BE42">
        <v>31.9</v>
      </c>
      <c r="BF42">
        <v>193.07499999999999</v>
      </c>
      <c r="BG42">
        <v>1135.546</v>
      </c>
      <c r="BH42">
        <v>71.92</v>
      </c>
      <c r="BI42">
        <v>3048.462</v>
      </c>
      <c r="BJ42" s="2">
        <v>0.12470000000000001</v>
      </c>
      <c r="BK42" s="2">
        <v>6.6029999999999991E-2</v>
      </c>
      <c r="BL42" s="2">
        <v>2.3929999999999996E-2</v>
      </c>
      <c r="BM42">
        <v>26.507000000000001</v>
      </c>
      <c r="BN42">
        <v>1407.364</v>
      </c>
      <c r="BO42">
        <v>8259.232</v>
      </c>
      <c r="BP42">
        <v>523.1</v>
      </c>
      <c r="BQ42">
        <v>22220.891</v>
      </c>
      <c r="BR42" s="2">
        <v>0.90698999999999996</v>
      </c>
      <c r="BS42" s="2">
        <v>0.48129</v>
      </c>
      <c r="BT42">
        <v>-48.46</v>
      </c>
      <c r="BU42" s="2">
        <v>-9.1730000000000006E-2</v>
      </c>
      <c r="BV42" s="2">
        <v>-4.0500000000000006E-3</v>
      </c>
      <c r="BW42">
        <v>-11.244999999999999</v>
      </c>
      <c r="BX42">
        <v>1108.0619999999999</v>
      </c>
      <c r="BY42">
        <v>6689</v>
      </c>
      <c r="BZ42">
        <v>424</v>
      </c>
      <c r="CA42">
        <v>17495.210999999999</v>
      </c>
      <c r="CB42" s="2">
        <v>0.73</v>
      </c>
      <c r="CC42" s="2">
        <v>0.37894</v>
      </c>
      <c r="CD42" s="2">
        <v>-1.282E-2</v>
      </c>
      <c r="CE42">
        <v>-11.933999999999999</v>
      </c>
      <c r="CF42">
        <v>919.245</v>
      </c>
      <c r="CG42">
        <v>180.15299999999999</v>
      </c>
      <c r="CH42">
        <v>11.41</v>
      </c>
      <c r="CI42">
        <v>14513.973</v>
      </c>
      <c r="CJ42" s="2">
        <v>-1.7319999999999999E-2</v>
      </c>
      <c r="CK42">
        <v>-0.185</v>
      </c>
      <c r="CL42">
        <v>166.18199999999999</v>
      </c>
      <c r="CM42">
        <v>10.525</v>
      </c>
      <c r="CN42" s="2">
        <v>1.9779999999999999E-2</v>
      </c>
      <c r="CO42" s="2">
        <v>0.31435999999999997</v>
      </c>
      <c r="CP42">
        <v>19.463000000000001</v>
      </c>
      <c r="CQ42">
        <v>6.18</v>
      </c>
      <c r="CR42">
        <v>0.5</v>
      </c>
      <c r="CS42" s="2">
        <v>5.901E-2</v>
      </c>
      <c r="CT42">
        <v>1.0840000000000001</v>
      </c>
      <c r="CU42">
        <v>98</v>
      </c>
      <c r="CV42">
        <v>8</v>
      </c>
      <c r="CW42">
        <v>307.29399999999998</v>
      </c>
      <c r="CX42" s="2">
        <v>1.072E-2</v>
      </c>
      <c r="CY42" s="2">
        <v>8.699999999999999E-4</v>
      </c>
      <c r="CZ42" s="2">
        <v>6.6600000000000001E-3</v>
      </c>
      <c r="DA42">
        <v>9106.1550000000007</v>
      </c>
      <c r="DB42">
        <v>2924.1460000000002</v>
      </c>
      <c r="DC42" s="2">
        <v>0.12906000000000001</v>
      </c>
      <c r="DD42">
        <v>37.752000000000002</v>
      </c>
      <c r="DE42">
        <v>299.30200000000002</v>
      </c>
      <c r="DF42">
        <v>1569.7439999999999</v>
      </c>
      <c r="DG42">
        <v>99.42</v>
      </c>
      <c r="DH42">
        <v>4725.68</v>
      </c>
      <c r="DI42" s="2">
        <v>0.17238000000000001</v>
      </c>
      <c r="DJ42" s="2">
        <v>0.10236000000000001</v>
      </c>
      <c r="DK42" s="2">
        <v>0.17873999999999998</v>
      </c>
      <c r="DL42">
        <v>1.89</v>
      </c>
      <c r="DM42">
        <v>12.903</v>
      </c>
      <c r="DN42">
        <v>81.944999999999993</v>
      </c>
      <c r="DO42">
        <v>5.19</v>
      </c>
      <c r="DP42">
        <v>203.72200000000001</v>
      </c>
      <c r="DQ42" s="2">
        <v>9.0000000000000011E-3</v>
      </c>
      <c r="DR42" s="2">
        <v>4.4099999999999999E-3</v>
      </c>
      <c r="DS42" s="2">
        <v>6.2640000000000001E-2</v>
      </c>
      <c r="DT42">
        <v>2.33</v>
      </c>
      <c r="DU42">
        <v>43.755000000000003</v>
      </c>
      <c r="DV42">
        <v>255</v>
      </c>
      <c r="DW42">
        <v>16.13</v>
      </c>
      <c r="DX42">
        <v>690.84500000000003</v>
      </c>
      <c r="DY42" s="2">
        <v>2.7970000000000002E-2</v>
      </c>
      <c r="DZ42" s="2">
        <v>1.4959999999999999E-2</v>
      </c>
    </row>
    <row r="43" spans="1:130" x14ac:dyDescent="0.3">
      <c r="A43" t="s">
        <v>165</v>
      </c>
      <c r="B43">
        <v>2013</v>
      </c>
      <c r="C43" t="s">
        <v>168</v>
      </c>
      <c r="D43" s="1">
        <v>81680592</v>
      </c>
      <c r="E43" s="1">
        <v>3497463119872</v>
      </c>
      <c r="F43" s="1">
        <v>3497463.1198720001</v>
      </c>
      <c r="G43" s="2">
        <v>-0.10518000000000001</v>
      </c>
      <c r="H43">
        <v>-3.681</v>
      </c>
      <c r="I43">
        <v>383.346</v>
      </c>
      <c r="J43">
        <v>31.312000000000001</v>
      </c>
      <c r="K43">
        <v>557</v>
      </c>
      <c r="L43">
        <v>45.51</v>
      </c>
      <c r="M43" s="2">
        <v>7.2270000000000001E-2</v>
      </c>
      <c r="N43" s="2">
        <v>8.09E-3</v>
      </c>
      <c r="O43">
        <v>538.02700000000004</v>
      </c>
      <c r="P43" s="2">
        <v>2.9190000000000001E-2</v>
      </c>
      <c r="Q43">
        <v>27.324000000000002</v>
      </c>
      <c r="R43">
        <v>11794.707</v>
      </c>
      <c r="S43">
        <v>963.399</v>
      </c>
      <c r="T43">
        <v>3528.3780000000002</v>
      </c>
      <c r="U43">
        <v>288.2</v>
      </c>
      <c r="V43" s="2">
        <v>-5.5510000000000004E-2</v>
      </c>
      <c r="W43">
        <v>-30.838999999999999</v>
      </c>
      <c r="X43">
        <v>6424.4889999999996</v>
      </c>
      <c r="Y43">
        <v>524.75599999999997</v>
      </c>
      <c r="Z43" s="2">
        <v>0.45768999999999999</v>
      </c>
      <c r="AA43" s="2">
        <v>0.24904000000000001</v>
      </c>
      <c r="AB43">
        <v>597.5</v>
      </c>
      <c r="AC43">
        <v>629.69000000000005</v>
      </c>
      <c r="AD43" s="2">
        <v>0.18368999999999999</v>
      </c>
      <c r="AE43" s="2">
        <v>2.8340000000000001E-2</v>
      </c>
      <c r="AF43">
        <v>106.601</v>
      </c>
      <c r="AG43">
        <v>47361.52</v>
      </c>
      <c r="AH43">
        <v>1.1060000000000001</v>
      </c>
      <c r="AI43" s="2">
        <v>3.107E-2</v>
      </c>
      <c r="AJ43">
        <v>94.840999999999994</v>
      </c>
      <c r="AK43">
        <v>4657.777</v>
      </c>
      <c r="AL43">
        <v>380.45</v>
      </c>
      <c r="AM43">
        <v>38533.078000000001</v>
      </c>
      <c r="AN43">
        <v>3147.4050000000002</v>
      </c>
      <c r="AO43" s="2">
        <v>0.60419</v>
      </c>
      <c r="AP43" s="2">
        <v>0.81358999999999992</v>
      </c>
      <c r="AQ43" s="2">
        <v>4.7640000000000002E-2</v>
      </c>
      <c r="AR43">
        <v>38.643000000000001</v>
      </c>
      <c r="AS43">
        <v>849.74300000000005</v>
      </c>
      <c r="AT43">
        <v>820</v>
      </c>
      <c r="AU43">
        <v>67</v>
      </c>
      <c r="AV43">
        <v>10403.246999999999</v>
      </c>
      <c r="AW43" s="2">
        <v>-9.0609999999999996E-2</v>
      </c>
      <c r="AX43">
        <v>-8.5719999999999992</v>
      </c>
      <c r="AY43">
        <v>1053.3869999999999</v>
      </c>
      <c r="AZ43">
        <v>86.040999999999997</v>
      </c>
      <c r="BA43" s="2">
        <v>0.10640000000000001</v>
      </c>
      <c r="BB43" s="2">
        <v>0.21966000000000002</v>
      </c>
      <c r="BC43">
        <v>338.79</v>
      </c>
      <c r="BD43" s="2">
        <v>5.7140000000000003E-2</v>
      </c>
      <c r="BE43">
        <v>3.028</v>
      </c>
      <c r="BF43">
        <v>62.679000000000002</v>
      </c>
      <c r="BG43">
        <v>281.58499999999998</v>
      </c>
      <c r="BH43">
        <v>23</v>
      </c>
      <c r="BI43">
        <v>767.36900000000003</v>
      </c>
      <c r="BJ43" s="2">
        <v>3.653E-2</v>
      </c>
      <c r="BK43" s="2">
        <v>1.6200000000000003E-2</v>
      </c>
      <c r="BL43" s="2">
        <v>9.6799999999999994E-3</v>
      </c>
      <c r="BM43">
        <v>11.760999999999999</v>
      </c>
      <c r="BN43">
        <v>721.11300000000006</v>
      </c>
      <c r="BO43">
        <v>3051.3980000000001</v>
      </c>
      <c r="BP43">
        <v>249.24</v>
      </c>
      <c r="BQ43">
        <v>8828.4459999999999</v>
      </c>
      <c r="BR43" s="2">
        <v>0.39581000000000005</v>
      </c>
      <c r="BS43" s="2">
        <v>0.18640999999999999</v>
      </c>
      <c r="BT43">
        <v>-32.19</v>
      </c>
      <c r="BU43" s="2">
        <v>-5.3869999999999994E-2</v>
      </c>
      <c r="BV43" s="2">
        <v>-2.1819999999999999E-2</v>
      </c>
      <c r="BW43">
        <v>-7.2519999999999998</v>
      </c>
      <c r="BX43">
        <v>254.44300000000001</v>
      </c>
      <c r="BY43">
        <v>1191</v>
      </c>
      <c r="BZ43">
        <v>97</v>
      </c>
      <c r="CA43">
        <v>3115.0920000000001</v>
      </c>
      <c r="CB43" s="2">
        <v>0.15</v>
      </c>
      <c r="CC43" s="2">
        <v>6.5769999999999995E-2</v>
      </c>
      <c r="CD43" s="2">
        <v>2.2120000000000001E-2</v>
      </c>
      <c r="CE43">
        <v>28.873000000000001</v>
      </c>
      <c r="CF43">
        <v>1334.2619999999999</v>
      </c>
      <c r="CG43">
        <v>309.13099999999997</v>
      </c>
      <c r="CH43">
        <v>25.25</v>
      </c>
      <c r="CI43">
        <v>16335.121999999999</v>
      </c>
      <c r="CJ43" s="2">
        <v>8.3000000000000001E-3</v>
      </c>
      <c r="CK43">
        <v>0.26900000000000002</v>
      </c>
      <c r="CL43">
        <v>400.53199999999998</v>
      </c>
      <c r="CM43">
        <v>32.716000000000001</v>
      </c>
      <c r="CN43" s="2">
        <v>4.0099999999999997E-2</v>
      </c>
      <c r="CO43" s="2">
        <v>0.34490000000000004</v>
      </c>
      <c r="CP43">
        <v>145.494</v>
      </c>
      <c r="CQ43">
        <v>45.59</v>
      </c>
      <c r="CR43">
        <v>0.08</v>
      </c>
      <c r="CS43" s="2">
        <v>5.4669999999999996E-2</v>
      </c>
      <c r="CT43">
        <v>7.5129999999999999</v>
      </c>
      <c r="CU43">
        <v>558</v>
      </c>
      <c r="CV43">
        <v>1</v>
      </c>
      <c r="CW43">
        <v>1781.252</v>
      </c>
      <c r="CX43" s="2">
        <v>7.2400000000000006E-2</v>
      </c>
      <c r="CY43" s="2">
        <v>1.2999999999999999E-4</v>
      </c>
      <c r="CZ43" s="2">
        <v>3.7610000000000005E-2</v>
      </c>
      <c r="DA43">
        <v>7709.1750000000002</v>
      </c>
      <c r="DB43">
        <v>3868.5169999999998</v>
      </c>
      <c r="DC43" s="2">
        <v>2.724E-2</v>
      </c>
      <c r="DD43">
        <v>19.012</v>
      </c>
      <c r="DE43">
        <v>466.67</v>
      </c>
      <c r="DF43">
        <v>1860.2950000000001</v>
      </c>
      <c r="DG43">
        <v>151.94999999999999</v>
      </c>
      <c r="DH43">
        <v>5713.3549999999996</v>
      </c>
      <c r="DI43" s="2">
        <v>0.24131</v>
      </c>
      <c r="DJ43" s="2">
        <v>0.12063</v>
      </c>
      <c r="DK43" s="2">
        <v>0.14496999999999999</v>
      </c>
      <c r="DL43">
        <v>10.125</v>
      </c>
      <c r="DM43">
        <v>83.454999999999998</v>
      </c>
      <c r="DN43">
        <v>374.875</v>
      </c>
      <c r="DO43">
        <v>30.62</v>
      </c>
      <c r="DP43">
        <v>1021.724</v>
      </c>
      <c r="DQ43" s="2">
        <v>4.8630000000000007E-2</v>
      </c>
      <c r="DR43" s="2">
        <v>2.1569999999999999E-2</v>
      </c>
      <c r="DS43" s="2">
        <v>2.0449999999999999E-2</v>
      </c>
      <c r="DT43">
        <v>2.0270000000000001</v>
      </c>
      <c r="DU43">
        <v>143.72999999999999</v>
      </c>
      <c r="DV43">
        <v>646</v>
      </c>
      <c r="DW43">
        <v>52.74</v>
      </c>
      <c r="DX43">
        <v>1759.664</v>
      </c>
      <c r="DY43" s="2">
        <v>8.3760000000000001E-2</v>
      </c>
      <c r="DZ43" s="2">
        <v>3.7149999999999996E-2</v>
      </c>
    </row>
    <row r="44" spans="1:130" x14ac:dyDescent="0.3">
      <c r="A44" t="s">
        <v>166</v>
      </c>
      <c r="B44">
        <v>2014</v>
      </c>
      <c r="C44" t="s">
        <v>167</v>
      </c>
      <c r="D44" s="1">
        <v>63588496</v>
      </c>
      <c r="E44" s="1">
        <v>2437822808064</v>
      </c>
      <c r="F44" s="1">
        <v>2437822.8080640002</v>
      </c>
      <c r="G44" s="2">
        <v>7.8310000000000005E-2</v>
      </c>
      <c r="H44">
        <v>2.3580000000000001</v>
      </c>
      <c r="I44">
        <v>510.54199999999997</v>
      </c>
      <c r="J44">
        <v>32.465000000000003</v>
      </c>
      <c r="K44">
        <v>94</v>
      </c>
      <c r="L44">
        <v>5.99</v>
      </c>
      <c r="M44" s="2">
        <v>1.0580000000000001E-2</v>
      </c>
      <c r="N44" s="2">
        <v>1.1610000000000001E-2</v>
      </c>
      <c r="O44">
        <v>52.148000000000003</v>
      </c>
      <c r="P44" s="2">
        <v>-0.26623000000000002</v>
      </c>
      <c r="Q44">
        <v>-38.896999999999998</v>
      </c>
      <c r="R44">
        <v>1685.961</v>
      </c>
      <c r="S44">
        <v>107.208</v>
      </c>
      <c r="T44">
        <v>177.07599999999999</v>
      </c>
      <c r="U44">
        <v>11.26</v>
      </c>
      <c r="W44">
        <v>0</v>
      </c>
      <c r="X44">
        <v>0</v>
      </c>
      <c r="Y44">
        <v>0</v>
      </c>
      <c r="Z44" s="2">
        <v>1.9879999999999998E-2</v>
      </c>
      <c r="AA44" s="2">
        <v>3.8330000000000003E-2</v>
      </c>
      <c r="AB44">
        <v>499.08</v>
      </c>
      <c r="AC44">
        <v>566.27</v>
      </c>
      <c r="AD44" s="2">
        <v>0.29209000000000002</v>
      </c>
      <c r="AE44" s="2">
        <v>-4.3529999999999999E-2</v>
      </c>
      <c r="AF44">
        <v>-127.30200000000001</v>
      </c>
      <c r="AG44">
        <v>43983.483999999997</v>
      </c>
      <c r="AH44">
        <v>1.147</v>
      </c>
      <c r="AI44" s="2">
        <v>-9.3000000000000013E-2</v>
      </c>
      <c r="AJ44">
        <v>-141.06399999999999</v>
      </c>
      <c r="AK44">
        <v>562.36599999999999</v>
      </c>
      <c r="AL44">
        <v>35.76</v>
      </c>
      <c r="AM44">
        <v>21634.684000000001</v>
      </c>
      <c r="AN44">
        <v>1375.7170000000001</v>
      </c>
      <c r="AO44" s="2">
        <v>6.3149999999999998E-2</v>
      </c>
      <c r="AP44" s="2">
        <v>0.49188000000000004</v>
      </c>
      <c r="AQ44" s="2">
        <v>-0.16025999999999999</v>
      </c>
      <c r="AR44">
        <v>-72.347999999999999</v>
      </c>
      <c r="AS44">
        <v>379.084</v>
      </c>
      <c r="AT44">
        <v>207</v>
      </c>
      <c r="AU44">
        <v>13.16</v>
      </c>
      <c r="AV44">
        <v>5961.5110000000004</v>
      </c>
      <c r="AW44" s="2">
        <v>-0.94739999999999991</v>
      </c>
      <c r="AX44">
        <v>-3.5449999999999999</v>
      </c>
      <c r="AY44">
        <v>3.0950000000000002</v>
      </c>
      <c r="AZ44">
        <v>0.19700000000000001</v>
      </c>
      <c r="BA44" s="2">
        <v>2.3239999999999997E-2</v>
      </c>
      <c r="BB44" s="2">
        <v>0.13553999999999999</v>
      </c>
      <c r="BC44">
        <v>29.53</v>
      </c>
      <c r="BD44" s="2">
        <v>-0.11312</v>
      </c>
      <c r="BE44">
        <v>-22.866</v>
      </c>
      <c r="BF44">
        <v>170.209</v>
      </c>
      <c r="BG44">
        <v>1002.854</v>
      </c>
      <c r="BH44">
        <v>63.77</v>
      </c>
      <c r="BI44">
        <v>2676.7289999999998</v>
      </c>
      <c r="BJ44" s="2">
        <v>0.11260999999999999</v>
      </c>
      <c r="BK44" s="2">
        <v>6.0860000000000004E-2</v>
      </c>
      <c r="BL44" s="2">
        <v>1.813E-2</v>
      </c>
      <c r="BM44">
        <v>13.762</v>
      </c>
      <c r="BN44">
        <v>1421.126</v>
      </c>
      <c r="BO44">
        <v>8342.8610000000008</v>
      </c>
      <c r="BP44">
        <v>530.51</v>
      </c>
      <c r="BQ44">
        <v>22348.798999999999</v>
      </c>
      <c r="BR44" s="2">
        <v>0.93685000000000007</v>
      </c>
      <c r="BS44" s="2">
        <v>0.50812000000000002</v>
      </c>
      <c r="BT44">
        <v>-67.19</v>
      </c>
      <c r="BU44" s="2">
        <v>-0.13463</v>
      </c>
      <c r="BV44" s="2">
        <v>3.0200000000000001E-2</v>
      </c>
      <c r="BW44">
        <v>26.626000000000001</v>
      </c>
      <c r="BX44">
        <v>1134.6880000000001</v>
      </c>
      <c r="BY44">
        <v>6864</v>
      </c>
      <c r="BZ44">
        <v>436</v>
      </c>
      <c r="CA44">
        <v>17844.234</v>
      </c>
      <c r="CB44" s="2">
        <v>0.77</v>
      </c>
      <c r="CC44" s="2">
        <v>0.40570000000000001</v>
      </c>
      <c r="CD44" s="2">
        <v>-3.2440000000000004E-2</v>
      </c>
      <c r="CE44">
        <v>-29.818999999999999</v>
      </c>
      <c r="CF44">
        <v>889.42600000000004</v>
      </c>
      <c r="CG44">
        <v>178.334</v>
      </c>
      <c r="CH44">
        <v>11.34</v>
      </c>
      <c r="CI44">
        <v>13987.212</v>
      </c>
      <c r="CJ44" s="2">
        <v>-3.9750000000000001E-2</v>
      </c>
      <c r="CK44">
        <v>-0.41799999999999998</v>
      </c>
      <c r="CL44">
        <v>158.941</v>
      </c>
      <c r="CM44">
        <v>10.106999999999999</v>
      </c>
      <c r="CN44" s="2">
        <v>2.0030000000000003E-2</v>
      </c>
      <c r="CO44" s="2">
        <v>0.31800999999999996</v>
      </c>
      <c r="CP44">
        <v>21.012</v>
      </c>
      <c r="CQ44">
        <v>6.55</v>
      </c>
      <c r="CR44">
        <v>0.56000000000000005</v>
      </c>
      <c r="CS44" s="2">
        <v>7.961E-2</v>
      </c>
      <c r="CT44">
        <v>1.55</v>
      </c>
      <c r="CU44">
        <v>103</v>
      </c>
      <c r="CV44">
        <v>9</v>
      </c>
      <c r="CW44">
        <v>330.43799999999999</v>
      </c>
      <c r="CX44" s="2">
        <v>1.157E-2</v>
      </c>
      <c r="CY44" s="2">
        <v>9.8999999999999999E-4</v>
      </c>
      <c r="CZ44" s="2">
        <v>7.5100000000000002E-3</v>
      </c>
      <c r="DA44">
        <v>8905.2279999999992</v>
      </c>
      <c r="DB44">
        <v>2796.8440000000001</v>
      </c>
      <c r="DC44" s="2">
        <v>-2.1869999999999997E-2</v>
      </c>
      <c r="DD44">
        <v>-12.863</v>
      </c>
      <c r="DE44">
        <v>286.43799999999999</v>
      </c>
      <c r="DF44">
        <v>1478.7270000000001</v>
      </c>
      <c r="DG44">
        <v>94.03</v>
      </c>
      <c r="DH44">
        <v>4504.5640000000003</v>
      </c>
      <c r="DI44" s="2">
        <v>0.16605</v>
      </c>
      <c r="DJ44" s="2">
        <v>0.10241</v>
      </c>
      <c r="DK44" s="2">
        <v>0.24908999999999998</v>
      </c>
      <c r="DL44">
        <v>3.117</v>
      </c>
      <c r="DM44">
        <v>16.02</v>
      </c>
      <c r="DN44">
        <v>100.49</v>
      </c>
      <c r="DO44">
        <v>6.39</v>
      </c>
      <c r="DP44">
        <v>251.935</v>
      </c>
      <c r="DQ44" s="2">
        <v>1.1279999999999998E-2</v>
      </c>
      <c r="DR44" s="2">
        <v>5.7299999999999999E-3</v>
      </c>
      <c r="DS44" s="2">
        <v>7.4490000000000001E-2</v>
      </c>
      <c r="DT44">
        <v>2.9780000000000002</v>
      </c>
      <c r="DU44">
        <v>46.731999999999999</v>
      </c>
      <c r="DV44">
        <v>272</v>
      </c>
      <c r="DW44">
        <v>17.32</v>
      </c>
      <c r="DX44">
        <v>734.92</v>
      </c>
      <c r="DY44" s="2">
        <v>3.0590000000000003E-2</v>
      </c>
      <c r="DZ44" s="2">
        <v>1.6709999999999999E-2</v>
      </c>
    </row>
    <row r="45" spans="1:130" x14ac:dyDescent="0.3">
      <c r="A45" t="s">
        <v>165</v>
      </c>
      <c r="B45">
        <v>2014</v>
      </c>
      <c r="C45" t="s">
        <v>168</v>
      </c>
      <c r="D45" s="1">
        <v>81858824</v>
      </c>
      <c r="E45" s="1">
        <v>3574741336064</v>
      </c>
      <c r="F45" s="1">
        <v>3574741.3360640001</v>
      </c>
      <c r="G45" s="2">
        <v>4.8520000000000001E-2</v>
      </c>
      <c r="H45">
        <v>1.5189999999999999</v>
      </c>
      <c r="I45">
        <v>401.07299999999998</v>
      </c>
      <c r="J45">
        <v>32.831000000000003</v>
      </c>
      <c r="K45">
        <v>590</v>
      </c>
      <c r="L45">
        <v>48.29</v>
      </c>
      <c r="M45" s="2">
        <v>7.8039999999999998E-2</v>
      </c>
      <c r="N45" s="2">
        <v>8.8500000000000002E-3</v>
      </c>
      <c r="O45">
        <v>521.68100000000004</v>
      </c>
      <c r="P45" s="2">
        <v>-3.8929999999999999E-2</v>
      </c>
      <c r="Q45">
        <v>-37.503999999999998</v>
      </c>
      <c r="R45">
        <v>11310.875</v>
      </c>
      <c r="S45">
        <v>925.89499999999998</v>
      </c>
      <c r="T45">
        <v>3352.2350000000001</v>
      </c>
      <c r="U45">
        <v>274.41000000000003</v>
      </c>
      <c r="V45" s="2">
        <v>-2.188E-2</v>
      </c>
      <c r="W45">
        <v>-11.48</v>
      </c>
      <c r="X45">
        <v>6270.2650000000003</v>
      </c>
      <c r="Y45">
        <v>513.27599999999995</v>
      </c>
      <c r="Z45" s="2">
        <v>0.44348999999999994</v>
      </c>
      <c r="AA45" s="2">
        <v>0.24954000000000001</v>
      </c>
      <c r="AB45">
        <v>584.87</v>
      </c>
      <c r="AC45">
        <v>618.75</v>
      </c>
      <c r="AD45" s="2">
        <v>0.19009000000000001</v>
      </c>
      <c r="AE45" s="2">
        <v>-4.086E-2</v>
      </c>
      <c r="AF45">
        <v>-158.05199999999999</v>
      </c>
      <c r="AG45">
        <v>45327.605000000003</v>
      </c>
      <c r="AH45">
        <v>1.038</v>
      </c>
      <c r="AI45" s="2">
        <v>-5.8540000000000002E-2</v>
      </c>
      <c r="AJ45">
        <v>-184.24100000000001</v>
      </c>
      <c r="AK45">
        <v>4394.0280000000002</v>
      </c>
      <c r="AL45">
        <v>359.69</v>
      </c>
      <c r="AM45">
        <v>36198.457000000002</v>
      </c>
      <c r="AN45">
        <v>2963.163</v>
      </c>
      <c r="AO45" s="2">
        <v>0.58131999999999995</v>
      </c>
      <c r="AP45" s="2">
        <v>0.79859999999999998</v>
      </c>
      <c r="AQ45" s="2">
        <v>-0.13038</v>
      </c>
      <c r="AR45">
        <v>-110.79300000000001</v>
      </c>
      <c r="AS45">
        <v>738.95</v>
      </c>
      <c r="AT45">
        <v>740</v>
      </c>
      <c r="AU45">
        <v>60.61</v>
      </c>
      <c r="AV45">
        <v>9027.1309999999994</v>
      </c>
      <c r="AW45" s="2">
        <v>-6.0599999999999994E-2</v>
      </c>
      <c r="AX45">
        <v>-5.2140000000000004</v>
      </c>
      <c r="AY45">
        <v>987.4</v>
      </c>
      <c r="AZ45">
        <v>80.826999999999998</v>
      </c>
      <c r="BA45" s="2">
        <v>9.7959999999999992E-2</v>
      </c>
      <c r="BB45" s="2">
        <v>0.19914999999999999</v>
      </c>
      <c r="BC45">
        <v>322.79000000000002</v>
      </c>
      <c r="BD45" s="2">
        <v>-0.14832000000000001</v>
      </c>
      <c r="BE45">
        <v>-9.6159999999999997</v>
      </c>
      <c r="BF45">
        <v>53.063000000000002</v>
      </c>
      <c r="BG45">
        <v>239.31399999999999</v>
      </c>
      <c r="BH45">
        <v>19.59</v>
      </c>
      <c r="BI45">
        <v>648.22699999999998</v>
      </c>
      <c r="BJ45" s="2">
        <v>3.1660000000000001E-2</v>
      </c>
      <c r="BK45" s="2">
        <v>1.43E-2</v>
      </c>
      <c r="BL45" s="2">
        <v>4.0379999999999999E-2</v>
      </c>
      <c r="BM45">
        <v>26.189</v>
      </c>
      <c r="BN45">
        <v>747.30100000000004</v>
      </c>
      <c r="BO45">
        <v>3164.7170000000001</v>
      </c>
      <c r="BP45">
        <v>259.06</v>
      </c>
      <c r="BQ45">
        <v>9129.1479999999992</v>
      </c>
      <c r="BR45" s="2">
        <v>0.41868</v>
      </c>
      <c r="BS45" s="2">
        <v>0.2014</v>
      </c>
      <c r="BT45">
        <v>-33.880000000000003</v>
      </c>
      <c r="BU45" s="2">
        <v>-5.7930000000000002E-2</v>
      </c>
      <c r="BV45" s="2">
        <v>-1.65E-3</v>
      </c>
      <c r="BW45">
        <v>-1.9419999999999999</v>
      </c>
      <c r="BX45">
        <v>252.5</v>
      </c>
      <c r="BY45">
        <v>1187</v>
      </c>
      <c r="BZ45">
        <v>97</v>
      </c>
      <c r="CA45">
        <v>3084.5830000000001</v>
      </c>
      <c r="CB45" s="2">
        <v>0.16</v>
      </c>
      <c r="CC45" s="2">
        <v>6.8049999999999999E-2</v>
      </c>
      <c r="CD45" s="2">
        <v>-2.6939999999999999E-2</v>
      </c>
      <c r="CE45">
        <v>-35.944000000000003</v>
      </c>
      <c r="CF45">
        <v>1298.318</v>
      </c>
      <c r="CG45">
        <v>301.37200000000001</v>
      </c>
      <c r="CH45">
        <v>24.67</v>
      </c>
      <c r="CI45">
        <v>15860.451999999999</v>
      </c>
      <c r="CJ45" s="2">
        <v>-6.7419999999999994E-2</v>
      </c>
      <c r="CK45">
        <v>-2.206</v>
      </c>
      <c r="CL45">
        <v>372.71300000000002</v>
      </c>
      <c r="CM45">
        <v>30.51</v>
      </c>
      <c r="CN45" s="2">
        <v>3.9870000000000003E-2</v>
      </c>
      <c r="CO45" s="2">
        <v>0.34991</v>
      </c>
      <c r="CP45">
        <v>154.4</v>
      </c>
      <c r="CQ45">
        <v>48.39</v>
      </c>
      <c r="CR45">
        <v>0.1</v>
      </c>
      <c r="CS45" s="2">
        <v>6.1280000000000001E-2</v>
      </c>
      <c r="CT45">
        <v>8.907</v>
      </c>
      <c r="CU45">
        <v>591</v>
      </c>
      <c r="CV45">
        <v>1</v>
      </c>
      <c r="CW45">
        <v>1886.1790000000001</v>
      </c>
      <c r="CX45" s="2">
        <v>7.8210000000000002E-2</v>
      </c>
      <c r="CY45" s="2">
        <v>1.6000000000000001E-4</v>
      </c>
      <c r="CZ45" s="2">
        <v>4.1609999999999994E-2</v>
      </c>
      <c r="DA45">
        <v>7558.7460000000001</v>
      </c>
      <c r="DB45">
        <v>3710.4650000000001</v>
      </c>
      <c r="DC45" s="2">
        <v>6.2689999999999996E-2</v>
      </c>
      <c r="DD45">
        <v>28.131</v>
      </c>
      <c r="DE45">
        <v>494.80099999999999</v>
      </c>
      <c r="DF45">
        <v>1978.162</v>
      </c>
      <c r="DG45">
        <v>161.93</v>
      </c>
      <c r="DH45">
        <v>6044.5649999999996</v>
      </c>
      <c r="DI45" s="2">
        <v>0.26171</v>
      </c>
      <c r="DJ45" s="2">
        <v>0.13335</v>
      </c>
      <c r="DK45" s="2">
        <v>0.15764</v>
      </c>
      <c r="DL45">
        <v>12.577</v>
      </c>
      <c r="DM45">
        <v>96.031999999999996</v>
      </c>
      <c r="DN45">
        <v>433.06299999999999</v>
      </c>
      <c r="DO45">
        <v>35.450000000000003</v>
      </c>
      <c r="DP45">
        <v>1173.143</v>
      </c>
      <c r="DQ45" s="2">
        <v>5.7290000000000001E-2</v>
      </c>
      <c r="DR45" s="2">
        <v>2.588E-2</v>
      </c>
      <c r="DS45" s="2">
        <v>0.10922000000000001</v>
      </c>
      <c r="DT45">
        <v>14.744</v>
      </c>
      <c r="DU45">
        <v>158.47399999999999</v>
      </c>
      <c r="DV45">
        <v>715</v>
      </c>
      <c r="DW45">
        <v>58.5</v>
      </c>
      <c r="DX45">
        <v>1935.944</v>
      </c>
      <c r="DY45" s="2">
        <v>9.4549999999999995E-2</v>
      </c>
      <c r="DZ45" s="2">
        <v>4.2709999999999998E-2</v>
      </c>
    </row>
    <row r="46" spans="1:130" x14ac:dyDescent="0.3">
      <c r="A46" t="s">
        <v>166</v>
      </c>
      <c r="B46">
        <v>2015</v>
      </c>
      <c r="C46" t="s">
        <v>167</v>
      </c>
      <c r="D46" s="1">
        <v>63809768</v>
      </c>
      <c r="E46" s="1">
        <v>2464953663488</v>
      </c>
      <c r="F46" s="1">
        <v>2464953.6634880002</v>
      </c>
      <c r="G46" s="2">
        <v>8.7299999999999999E-3</v>
      </c>
      <c r="H46">
        <v>0.28299999999999997</v>
      </c>
      <c r="I46">
        <v>513.21100000000001</v>
      </c>
      <c r="J46">
        <v>32.747999999999998</v>
      </c>
      <c r="K46">
        <v>102</v>
      </c>
      <c r="L46">
        <v>6.53</v>
      </c>
      <c r="M46" s="2">
        <v>1.137E-2</v>
      </c>
      <c r="N46" s="2">
        <v>1.1599999999999999E-2</v>
      </c>
      <c r="O46">
        <v>59.118000000000002</v>
      </c>
      <c r="P46" s="2">
        <v>-4.5970000000000004E-2</v>
      </c>
      <c r="Q46">
        <v>-4.9279999999999999</v>
      </c>
      <c r="R46">
        <v>1602.8869999999999</v>
      </c>
      <c r="S46">
        <v>102.28</v>
      </c>
      <c r="T46">
        <v>186.33500000000001</v>
      </c>
      <c r="U46">
        <v>11.89</v>
      </c>
      <c r="W46">
        <v>0</v>
      </c>
      <c r="X46">
        <v>0</v>
      </c>
      <c r="Y46">
        <v>0</v>
      </c>
      <c r="Z46" s="2">
        <v>2.0710000000000003E-2</v>
      </c>
      <c r="AA46" s="2">
        <v>3.6240000000000001E-2</v>
      </c>
      <c r="AB46">
        <v>510.05</v>
      </c>
      <c r="AC46">
        <v>574.11</v>
      </c>
      <c r="AD46" s="2">
        <v>0.29077000000000003</v>
      </c>
      <c r="AE46" s="2">
        <v>9.0900000000000009E-3</v>
      </c>
      <c r="AF46">
        <v>25.428999999999998</v>
      </c>
      <c r="AG46">
        <v>44229.48</v>
      </c>
      <c r="AH46">
        <v>1.145</v>
      </c>
      <c r="AI46" s="2">
        <v>2.6699999999999998E-2</v>
      </c>
      <c r="AJ46">
        <v>36.735999999999997</v>
      </c>
      <c r="AK46">
        <v>702.71400000000006</v>
      </c>
      <c r="AL46">
        <v>44.84</v>
      </c>
      <c r="AM46">
        <v>22135.375</v>
      </c>
      <c r="AN46">
        <v>1412.453</v>
      </c>
      <c r="AO46" s="2">
        <v>7.8100000000000003E-2</v>
      </c>
      <c r="AP46" s="2">
        <v>0.50046999999999997</v>
      </c>
      <c r="AQ46" s="2">
        <v>7.5010000000000007E-2</v>
      </c>
      <c r="AR46">
        <v>28.434000000000001</v>
      </c>
      <c r="AS46">
        <v>407.51799999999997</v>
      </c>
      <c r="AT46">
        <v>331</v>
      </c>
      <c r="AU46">
        <v>21.14</v>
      </c>
      <c r="AV46">
        <v>6386.4459999999999</v>
      </c>
      <c r="AW46" s="2">
        <v>0.25719000000000003</v>
      </c>
      <c r="AX46">
        <v>5.0999999999999997E-2</v>
      </c>
      <c r="AY46">
        <v>3.8780000000000001</v>
      </c>
      <c r="AZ46">
        <v>0.247</v>
      </c>
      <c r="BA46" s="2">
        <v>3.6819999999999999E-2</v>
      </c>
      <c r="BB46" s="2">
        <v>0.14438999999999999</v>
      </c>
      <c r="BC46">
        <v>33.94</v>
      </c>
      <c r="BD46" s="2">
        <v>-0.13166</v>
      </c>
      <c r="BE46">
        <v>-23.289000000000001</v>
      </c>
      <c r="BF46">
        <v>146.91999999999999</v>
      </c>
      <c r="BG46">
        <v>870.71299999999997</v>
      </c>
      <c r="BH46">
        <v>55.56</v>
      </c>
      <c r="BI46">
        <v>2302.4749999999999</v>
      </c>
      <c r="BJ46" s="2">
        <v>9.6780000000000005E-2</v>
      </c>
      <c r="BK46" s="2">
        <v>5.2060000000000002E-2</v>
      </c>
      <c r="BL46" s="2">
        <v>-1.8799999999999999E-3</v>
      </c>
      <c r="BM46">
        <v>-11.307</v>
      </c>
      <c r="BN46">
        <v>1409.82</v>
      </c>
      <c r="BO46">
        <v>8294.4979999999996</v>
      </c>
      <c r="BP46">
        <v>529.27</v>
      </c>
      <c r="BQ46">
        <v>22094.103999999999</v>
      </c>
      <c r="BR46" s="2">
        <v>0.92189999999999994</v>
      </c>
      <c r="BS46" s="2">
        <v>0.49953000000000003</v>
      </c>
      <c r="BT46">
        <v>-64.06</v>
      </c>
      <c r="BU46" s="2">
        <v>-0.12560000000000002</v>
      </c>
      <c r="BV46" s="2">
        <v>2.1700000000000001E-3</v>
      </c>
      <c r="BW46">
        <v>-4.3019999999999996</v>
      </c>
      <c r="BX46">
        <v>1130.386</v>
      </c>
      <c r="BY46">
        <v>6855</v>
      </c>
      <c r="BZ46">
        <v>437</v>
      </c>
      <c r="CA46">
        <v>17714.934000000001</v>
      </c>
      <c r="CB46" s="2">
        <v>0.76</v>
      </c>
      <c r="CC46" s="2">
        <v>0.40051999999999999</v>
      </c>
      <c r="CD46" s="2">
        <v>1.4870000000000001E-2</v>
      </c>
      <c r="CE46">
        <v>13.23</v>
      </c>
      <c r="CF46">
        <v>902.65599999999995</v>
      </c>
      <c r="CG46">
        <v>185.08099999999999</v>
      </c>
      <c r="CH46">
        <v>11.81</v>
      </c>
      <c r="CI46">
        <v>14146.043</v>
      </c>
      <c r="CJ46" s="2">
        <v>5.5079999999999997E-2</v>
      </c>
      <c r="CK46">
        <v>0.55700000000000005</v>
      </c>
      <c r="CL46">
        <v>167.114</v>
      </c>
      <c r="CM46">
        <v>10.664</v>
      </c>
      <c r="CN46" s="2">
        <v>2.0569999999999998E-2</v>
      </c>
      <c r="CO46" s="2">
        <v>0.31983</v>
      </c>
      <c r="CP46">
        <v>22.710999999999999</v>
      </c>
      <c r="CQ46">
        <v>7.11</v>
      </c>
      <c r="CR46">
        <v>0.57999999999999996</v>
      </c>
      <c r="CS46" s="2">
        <v>8.0839999999999995E-2</v>
      </c>
      <c r="CT46">
        <v>1.6990000000000001</v>
      </c>
      <c r="CU46">
        <v>111</v>
      </c>
      <c r="CV46">
        <v>9</v>
      </c>
      <c r="CW46">
        <v>355.91300000000001</v>
      </c>
      <c r="CX46" s="2">
        <v>1.238E-2</v>
      </c>
      <c r="CY46" s="2">
        <v>1.01E-3</v>
      </c>
      <c r="CZ46" s="2">
        <v>8.0499999999999999E-3</v>
      </c>
      <c r="DA46">
        <v>8997.2119999999995</v>
      </c>
      <c r="DB46">
        <v>2822.2730000000001</v>
      </c>
      <c r="DC46" s="2">
        <v>-1.6049999999999998E-2</v>
      </c>
      <c r="DD46">
        <v>-7.0049999999999999</v>
      </c>
      <c r="DE46">
        <v>279.43400000000003</v>
      </c>
      <c r="DF46">
        <v>1439.278</v>
      </c>
      <c r="DG46">
        <v>91.84</v>
      </c>
      <c r="DH46">
        <v>4379.1710000000003</v>
      </c>
      <c r="DI46" s="2">
        <v>0.15997</v>
      </c>
      <c r="DJ46" s="2">
        <v>9.9010000000000001E-2</v>
      </c>
      <c r="DK46" s="2">
        <v>0.22824000000000003</v>
      </c>
      <c r="DL46">
        <v>3.5390000000000001</v>
      </c>
      <c r="DM46">
        <v>19.559000000000001</v>
      </c>
      <c r="DN46">
        <v>121.455</v>
      </c>
      <c r="DO46">
        <v>7.75</v>
      </c>
      <c r="DP46">
        <v>306.52800000000002</v>
      </c>
      <c r="DQ46" s="2">
        <v>1.3500000000000002E-2</v>
      </c>
      <c r="DR46" s="2">
        <v>6.9299999999999995E-3</v>
      </c>
      <c r="DS46" s="2">
        <v>0.23768</v>
      </c>
      <c r="DT46">
        <v>10.763</v>
      </c>
      <c r="DU46">
        <v>57.494999999999997</v>
      </c>
      <c r="DV46">
        <v>336</v>
      </c>
      <c r="DW46">
        <v>21.42</v>
      </c>
      <c r="DX46">
        <v>901.04399999999998</v>
      </c>
      <c r="DY46" s="2">
        <v>3.7309999999999996E-2</v>
      </c>
      <c r="DZ46" s="2">
        <v>2.0369999999999999E-2</v>
      </c>
    </row>
    <row r="47" spans="1:130" x14ac:dyDescent="0.3">
      <c r="A47" t="s">
        <v>165</v>
      </c>
      <c r="B47">
        <v>2015</v>
      </c>
      <c r="C47" t="s">
        <v>168</v>
      </c>
      <c r="D47" s="1">
        <v>82073232</v>
      </c>
      <c r="E47" s="1">
        <v>3628073746432</v>
      </c>
      <c r="F47" s="1">
        <v>3628073.7464319998</v>
      </c>
      <c r="G47" s="2">
        <v>-6.2539999999999998E-2</v>
      </c>
      <c r="H47">
        <v>-2.0529999999999999</v>
      </c>
      <c r="I47">
        <v>375.00900000000001</v>
      </c>
      <c r="J47">
        <v>30.777999999999999</v>
      </c>
      <c r="K47">
        <v>613</v>
      </c>
      <c r="L47">
        <v>50.33</v>
      </c>
      <c r="M47" s="2">
        <v>7.8739999999999991E-2</v>
      </c>
      <c r="N47" s="2">
        <v>8.1399999999999997E-3</v>
      </c>
      <c r="O47">
        <v>503.59100000000001</v>
      </c>
      <c r="P47" s="2">
        <v>-1.171E-2</v>
      </c>
      <c r="Q47">
        <v>-10.839</v>
      </c>
      <c r="R47">
        <v>11149.26</v>
      </c>
      <c r="S47">
        <v>915.05600000000004</v>
      </c>
      <c r="T47">
        <v>3316.55</v>
      </c>
      <c r="U47">
        <v>272.2</v>
      </c>
      <c r="V47" s="2">
        <v>-2.9940000000000001E-2</v>
      </c>
      <c r="W47">
        <v>-15.367000000000001</v>
      </c>
      <c r="X47">
        <v>6066.6480000000001</v>
      </c>
      <c r="Y47">
        <v>497.90899999999999</v>
      </c>
      <c r="Z47" s="2">
        <v>0.42585999999999996</v>
      </c>
      <c r="AA47" s="2">
        <v>0.24202000000000001</v>
      </c>
      <c r="AB47">
        <v>590.89</v>
      </c>
      <c r="AC47">
        <v>639.16999999999996</v>
      </c>
      <c r="AD47" s="2">
        <v>0.19417000000000001</v>
      </c>
      <c r="AE47" s="2">
        <v>1.8970000000000001E-2</v>
      </c>
      <c r="AF47">
        <v>70.394999999999996</v>
      </c>
      <c r="AG47">
        <v>46066.906000000003</v>
      </c>
      <c r="AH47">
        <v>1.042</v>
      </c>
      <c r="AI47" s="2">
        <v>6.0599999999999994E-3</v>
      </c>
      <c r="AJ47">
        <v>17.971</v>
      </c>
      <c r="AK47">
        <v>4377.0659999999998</v>
      </c>
      <c r="AL47">
        <v>359.24</v>
      </c>
      <c r="AM47">
        <v>36322.855000000003</v>
      </c>
      <c r="AN47">
        <v>2981.134</v>
      </c>
      <c r="AO47" s="2">
        <v>0.56203999999999998</v>
      </c>
      <c r="AP47" s="2">
        <v>0.78847999999999996</v>
      </c>
      <c r="AQ47" s="2">
        <v>4.1390000000000003E-2</v>
      </c>
      <c r="AR47">
        <v>30.585999999999999</v>
      </c>
      <c r="AS47">
        <v>769.53599999999994</v>
      </c>
      <c r="AT47">
        <v>749</v>
      </c>
      <c r="AU47">
        <v>61.47</v>
      </c>
      <c r="AV47">
        <v>9376.2129999999997</v>
      </c>
      <c r="AW47" s="2">
        <v>-6.9070000000000006E-2</v>
      </c>
      <c r="AX47">
        <v>-5.5830000000000002</v>
      </c>
      <c r="AY47">
        <v>916.79499999999996</v>
      </c>
      <c r="AZ47">
        <v>75.244</v>
      </c>
      <c r="BA47" s="2">
        <v>9.6170000000000005E-2</v>
      </c>
      <c r="BB47" s="2">
        <v>0.20353000000000002</v>
      </c>
      <c r="BC47">
        <v>321.88</v>
      </c>
      <c r="BD47" s="2">
        <v>-3.1139999999999998E-2</v>
      </c>
      <c r="BE47">
        <v>-1.9590000000000001</v>
      </c>
      <c r="BF47">
        <v>51.104999999999997</v>
      </c>
      <c r="BG47">
        <v>231.25700000000001</v>
      </c>
      <c r="BH47">
        <v>18.98</v>
      </c>
      <c r="BI47">
        <v>622.66999999999996</v>
      </c>
      <c r="BJ47" s="2">
        <v>2.9689999999999998E-2</v>
      </c>
      <c r="BK47" s="2">
        <v>1.3520000000000001E-2</v>
      </c>
      <c r="BL47" s="2">
        <v>6.4489999999999992E-2</v>
      </c>
      <c r="BM47">
        <v>52.423999999999999</v>
      </c>
      <c r="BN47">
        <v>799.726</v>
      </c>
      <c r="BO47">
        <v>3410.7339999999999</v>
      </c>
      <c r="BP47">
        <v>279.93</v>
      </c>
      <c r="BQ47">
        <v>9744.0490000000009</v>
      </c>
      <c r="BR47" s="2">
        <v>0.43796000000000002</v>
      </c>
      <c r="BS47" s="2">
        <v>0.21152000000000001</v>
      </c>
      <c r="BT47">
        <v>-48.28</v>
      </c>
      <c r="BU47" s="2">
        <v>-8.1709999999999991E-2</v>
      </c>
      <c r="BV47" s="2">
        <v>-5.5010000000000003E-2</v>
      </c>
      <c r="BW47">
        <v>-15.308999999999999</v>
      </c>
      <c r="BX47">
        <v>237.191</v>
      </c>
      <c r="BY47">
        <v>1118</v>
      </c>
      <c r="BZ47">
        <v>92</v>
      </c>
      <c r="CA47">
        <v>2889.9920000000002</v>
      </c>
      <c r="CB47" s="2">
        <v>0.14000000000000001</v>
      </c>
      <c r="CC47" s="2">
        <v>6.2729999999999994E-2</v>
      </c>
      <c r="CD47" s="2">
        <v>-1.3700000000000001E-3</v>
      </c>
      <c r="CE47">
        <v>-1.776</v>
      </c>
      <c r="CF47">
        <v>1296.5419999999999</v>
      </c>
      <c r="CG47">
        <v>311.55099999999999</v>
      </c>
      <c r="CH47">
        <v>25.57</v>
      </c>
      <c r="CI47">
        <v>15797.383</v>
      </c>
      <c r="CJ47" s="2">
        <v>-5.0999999999999993E-4</v>
      </c>
      <c r="CK47">
        <v>-1.6E-2</v>
      </c>
      <c r="CL47">
        <v>371.548</v>
      </c>
      <c r="CM47">
        <v>30.494</v>
      </c>
      <c r="CN47" s="2">
        <v>4.0010000000000004E-2</v>
      </c>
      <c r="CO47" s="2">
        <v>0.34292</v>
      </c>
      <c r="CP47">
        <v>160.99600000000001</v>
      </c>
      <c r="CQ47">
        <v>50.46</v>
      </c>
      <c r="CR47">
        <v>0.13</v>
      </c>
      <c r="CS47" s="2">
        <v>4.2849999999999999E-2</v>
      </c>
      <c r="CT47">
        <v>6.5960000000000001</v>
      </c>
      <c r="CU47">
        <v>615</v>
      </c>
      <c r="CV47">
        <v>2</v>
      </c>
      <c r="CW47">
        <v>1961.616</v>
      </c>
      <c r="CX47" s="2">
        <v>7.8949999999999992E-2</v>
      </c>
      <c r="CY47" s="2">
        <v>2.0000000000000001E-4</v>
      </c>
      <c r="CZ47" s="2">
        <v>4.258E-2</v>
      </c>
      <c r="DA47">
        <v>7787.8010000000004</v>
      </c>
      <c r="DB47">
        <v>3780.86</v>
      </c>
      <c r="DC47" s="2">
        <v>0.12408</v>
      </c>
      <c r="DD47">
        <v>67.733999999999995</v>
      </c>
      <c r="DE47">
        <v>562.53499999999997</v>
      </c>
      <c r="DF47">
        <v>2292.3429999999998</v>
      </c>
      <c r="DG47">
        <v>188.14</v>
      </c>
      <c r="DH47">
        <v>6854.0569999999998</v>
      </c>
      <c r="DI47" s="2">
        <v>0.29435</v>
      </c>
      <c r="DJ47" s="2">
        <v>0.14878</v>
      </c>
      <c r="DK47" s="2">
        <v>7.4139999999999998E-2</v>
      </c>
      <c r="DL47">
        <v>6.5060000000000002</v>
      </c>
      <c r="DM47">
        <v>102.538</v>
      </c>
      <c r="DN47">
        <v>463.976</v>
      </c>
      <c r="DO47">
        <v>38.08</v>
      </c>
      <c r="DP47">
        <v>1249.3430000000001</v>
      </c>
      <c r="DQ47" s="2">
        <v>5.9580000000000001E-2</v>
      </c>
      <c r="DR47" s="2">
        <v>2.7120000000000002E-2</v>
      </c>
      <c r="DS47" s="2">
        <v>0.37825999999999999</v>
      </c>
      <c r="DT47">
        <v>58.643999999999998</v>
      </c>
      <c r="DU47">
        <v>217.11799999999999</v>
      </c>
      <c r="DV47">
        <v>982</v>
      </c>
      <c r="DW47">
        <v>80.62</v>
      </c>
      <c r="DX47">
        <v>2645.42</v>
      </c>
      <c r="DY47" s="2">
        <v>0.12612999999999999</v>
      </c>
      <c r="DZ47" s="2">
        <v>5.7430000000000002E-2</v>
      </c>
    </row>
    <row r="48" spans="1:130" x14ac:dyDescent="0.3">
      <c r="A48" t="s">
        <v>166</v>
      </c>
      <c r="B48">
        <v>2016</v>
      </c>
      <c r="C48" t="s">
        <v>167</v>
      </c>
      <c r="D48" s="1">
        <v>63989320</v>
      </c>
      <c r="E48" s="1">
        <v>2491956330496</v>
      </c>
      <c r="F48" s="1">
        <v>2491956.3304960001</v>
      </c>
      <c r="G48" s="2">
        <v>6.0499999999999998E-3</v>
      </c>
      <c r="H48">
        <v>0.19800000000000001</v>
      </c>
      <c r="I48">
        <v>514.86800000000005</v>
      </c>
      <c r="J48">
        <v>32.945999999999998</v>
      </c>
      <c r="K48">
        <v>118</v>
      </c>
      <c r="L48">
        <v>7.52</v>
      </c>
      <c r="M48" s="2">
        <v>1.3460000000000001E-2</v>
      </c>
      <c r="N48" s="2">
        <v>1.191E-2</v>
      </c>
      <c r="O48">
        <v>68.558000000000007</v>
      </c>
      <c r="P48" s="2">
        <v>-2.7040000000000002E-2</v>
      </c>
      <c r="Q48">
        <v>-2.766</v>
      </c>
      <c r="R48">
        <v>1555.164</v>
      </c>
      <c r="S48">
        <v>99.513999999999996</v>
      </c>
      <c r="T48">
        <v>159.87</v>
      </c>
      <c r="U48">
        <v>10.23</v>
      </c>
      <c r="W48">
        <v>0</v>
      </c>
      <c r="X48">
        <v>0</v>
      </c>
      <c r="Y48">
        <v>0</v>
      </c>
      <c r="Z48" s="2">
        <v>1.831E-2</v>
      </c>
      <c r="AA48" s="2">
        <v>3.5979999999999998E-2</v>
      </c>
      <c r="AB48">
        <v>517.29999999999995</v>
      </c>
      <c r="AC48">
        <v>558.79999999999995</v>
      </c>
      <c r="AD48" s="2">
        <v>0.28394999999999998</v>
      </c>
      <c r="AE48" s="2">
        <v>-2.0129999999999999E-2</v>
      </c>
      <c r="AF48">
        <v>-56.82</v>
      </c>
      <c r="AG48">
        <v>43217.41</v>
      </c>
      <c r="AH48">
        <v>1.1100000000000001</v>
      </c>
      <c r="AI48" s="2">
        <v>1.4410000000000001E-2</v>
      </c>
      <c r="AJ48">
        <v>20.358000000000001</v>
      </c>
      <c r="AK48">
        <v>884.52300000000002</v>
      </c>
      <c r="AL48">
        <v>56.6</v>
      </c>
      <c r="AM48">
        <v>22391.416000000001</v>
      </c>
      <c r="AN48">
        <v>1432.8119999999999</v>
      </c>
      <c r="AO48" s="2">
        <v>0.10128999999999999</v>
      </c>
      <c r="AP48" s="2">
        <v>0.51810999999999996</v>
      </c>
      <c r="AQ48" s="2">
        <v>9.2710000000000015E-2</v>
      </c>
      <c r="AR48">
        <v>37.781999999999996</v>
      </c>
      <c r="AS48">
        <v>445.29899999999998</v>
      </c>
      <c r="AT48">
        <v>546</v>
      </c>
      <c r="AU48">
        <v>34.97</v>
      </c>
      <c r="AV48">
        <v>6958.9639999999999</v>
      </c>
      <c r="AW48" s="2">
        <v>-4.7619999999999996E-2</v>
      </c>
      <c r="AX48">
        <v>-1.2E-2</v>
      </c>
      <c r="AY48">
        <v>3.6829999999999998</v>
      </c>
      <c r="AZ48">
        <v>0.23599999999999999</v>
      </c>
      <c r="BA48" s="2">
        <v>6.2579999999999997E-2</v>
      </c>
      <c r="BB48" s="2">
        <v>0.16102</v>
      </c>
      <c r="BC48">
        <v>38.31</v>
      </c>
      <c r="BD48" s="2">
        <v>9.8360000000000003E-2</v>
      </c>
      <c r="BE48">
        <v>13.497</v>
      </c>
      <c r="BF48">
        <v>160.417</v>
      </c>
      <c r="BG48">
        <v>950.78399999999999</v>
      </c>
      <c r="BH48">
        <v>60.84</v>
      </c>
      <c r="BI48">
        <v>2506.9380000000001</v>
      </c>
      <c r="BJ48" s="2">
        <v>0.10888</v>
      </c>
      <c r="BK48" s="2">
        <v>5.8009999999999999E-2</v>
      </c>
      <c r="BL48" s="2">
        <v>-4.8550000000000003E-2</v>
      </c>
      <c r="BM48">
        <v>-77.179000000000002</v>
      </c>
      <c r="BN48">
        <v>1332.6410000000001</v>
      </c>
      <c r="BO48">
        <v>7848.1850000000004</v>
      </c>
      <c r="BP48">
        <v>502.2</v>
      </c>
      <c r="BQ48">
        <v>20825.988000000001</v>
      </c>
      <c r="BR48" s="2">
        <v>0.8987099999999999</v>
      </c>
      <c r="BS48" s="2">
        <v>0.48188999999999999</v>
      </c>
      <c r="BT48">
        <v>-41.5</v>
      </c>
      <c r="BU48" s="2">
        <v>-8.022E-2</v>
      </c>
      <c r="BV48" s="2">
        <v>-7.8259999999999996E-2</v>
      </c>
      <c r="BW48">
        <v>-94.626999999999995</v>
      </c>
      <c r="BX48">
        <v>1035.759</v>
      </c>
      <c r="BY48">
        <v>6301</v>
      </c>
      <c r="BZ48">
        <v>403</v>
      </c>
      <c r="CA48">
        <v>16186.429</v>
      </c>
      <c r="CB48" s="2">
        <v>0.72</v>
      </c>
      <c r="CC48" s="2">
        <v>0.37453000000000003</v>
      </c>
      <c r="CD48" s="2">
        <v>-1.6240000000000001E-2</v>
      </c>
      <c r="CE48">
        <v>-14.657</v>
      </c>
      <c r="CF48">
        <v>887.99800000000005</v>
      </c>
      <c r="CG48">
        <v>178.155</v>
      </c>
      <c r="CH48">
        <v>11.4</v>
      </c>
      <c r="CI48">
        <v>13877.288</v>
      </c>
      <c r="CJ48" s="2">
        <v>-1.222E-2</v>
      </c>
      <c r="CK48">
        <v>-0.13</v>
      </c>
      <c r="CL48">
        <v>164.60900000000001</v>
      </c>
      <c r="CM48">
        <v>10.532999999999999</v>
      </c>
      <c r="CN48" s="2">
        <v>2.0400000000000001E-2</v>
      </c>
      <c r="CO48" s="2">
        <v>0.3211</v>
      </c>
      <c r="CP48">
        <v>24.619</v>
      </c>
      <c r="CQ48">
        <v>8.1199999999999992</v>
      </c>
      <c r="CR48">
        <v>0.6</v>
      </c>
      <c r="CS48" s="2">
        <v>8.4139999999999993E-2</v>
      </c>
      <c r="CT48">
        <v>1.9079999999999999</v>
      </c>
      <c r="CU48">
        <v>127</v>
      </c>
      <c r="CV48">
        <v>9</v>
      </c>
      <c r="CW48">
        <v>384.73500000000001</v>
      </c>
      <c r="CX48" s="2">
        <v>1.4530000000000001E-2</v>
      </c>
      <c r="CY48" s="2">
        <v>1.07E-3</v>
      </c>
      <c r="CZ48" s="2">
        <v>8.8999999999999999E-3</v>
      </c>
      <c r="DA48">
        <v>8732.7070000000003</v>
      </c>
      <c r="DB48">
        <v>2765.453</v>
      </c>
      <c r="DC48" s="2">
        <v>5.7079999999999999E-2</v>
      </c>
      <c r="DD48">
        <v>17.448</v>
      </c>
      <c r="DE48">
        <v>296.88200000000001</v>
      </c>
      <c r="DF48">
        <v>1547.133</v>
      </c>
      <c r="DG48">
        <v>99</v>
      </c>
      <c r="DH48">
        <v>4639.5609999999997</v>
      </c>
      <c r="DI48" s="2">
        <v>0.17716999999999999</v>
      </c>
      <c r="DJ48" s="2">
        <v>0.10735</v>
      </c>
      <c r="DK48" s="2">
        <v>0.12416000000000001</v>
      </c>
      <c r="DL48">
        <v>2.298</v>
      </c>
      <c r="DM48">
        <v>21.858000000000001</v>
      </c>
      <c r="DN48">
        <v>135.33500000000001</v>
      </c>
      <c r="DO48">
        <v>8.66</v>
      </c>
      <c r="DP48">
        <v>341.58600000000001</v>
      </c>
      <c r="DQ48" s="2">
        <v>1.55E-2</v>
      </c>
      <c r="DR48" s="2">
        <v>7.9000000000000008E-3</v>
      </c>
      <c r="DS48" s="2">
        <v>-1.98E-3</v>
      </c>
      <c r="DT48">
        <v>-0.45300000000000001</v>
      </c>
      <c r="DU48">
        <v>57.042000000000002</v>
      </c>
      <c r="DV48">
        <v>334</v>
      </c>
      <c r="DW48">
        <v>21.38</v>
      </c>
      <c r="DX48">
        <v>891.43399999999997</v>
      </c>
      <c r="DY48" s="2">
        <v>3.8260000000000002E-2</v>
      </c>
      <c r="DZ48" s="2">
        <v>2.0630000000000003E-2</v>
      </c>
    </row>
    <row r="49" spans="1:130" x14ac:dyDescent="0.3">
      <c r="A49" t="s">
        <v>165</v>
      </c>
      <c r="B49">
        <v>2016</v>
      </c>
      <c r="C49" t="s">
        <v>168</v>
      </c>
      <c r="D49" s="1">
        <v>82331432</v>
      </c>
      <c r="E49" s="1">
        <v>3708980035584</v>
      </c>
      <c r="F49" s="1">
        <v>3708980.0355839999</v>
      </c>
      <c r="G49" s="2">
        <v>2.3499999999999997E-3</v>
      </c>
      <c r="H49">
        <v>7.1999999999999995E-2</v>
      </c>
      <c r="I49">
        <v>374.71300000000002</v>
      </c>
      <c r="J49">
        <v>30.850999999999999</v>
      </c>
      <c r="K49">
        <v>619</v>
      </c>
      <c r="L49">
        <v>50.93</v>
      </c>
      <c r="M49" s="2">
        <v>7.9390000000000002E-2</v>
      </c>
      <c r="N49" s="2">
        <v>8.0300000000000007E-3</v>
      </c>
      <c r="O49">
        <v>498.30099999999999</v>
      </c>
      <c r="P49" s="2">
        <v>-2.7450000000000002E-2</v>
      </c>
      <c r="Q49">
        <v>-25.120999999999999</v>
      </c>
      <c r="R49">
        <v>10809.177</v>
      </c>
      <c r="S49">
        <v>889.93499999999995</v>
      </c>
      <c r="T49">
        <v>3179.223</v>
      </c>
      <c r="U49">
        <v>261.75</v>
      </c>
      <c r="V49" s="2">
        <v>-7.4179999999999996E-2</v>
      </c>
      <c r="W49">
        <v>-36.936999999999998</v>
      </c>
      <c r="X49">
        <v>5598.982</v>
      </c>
      <c r="Y49">
        <v>460.97199999999998</v>
      </c>
      <c r="Z49" s="2">
        <v>0.40801999999999999</v>
      </c>
      <c r="AA49" s="2">
        <v>0.23167000000000001</v>
      </c>
      <c r="AB49">
        <v>591</v>
      </c>
      <c r="AC49">
        <v>641.52</v>
      </c>
      <c r="AD49" s="2">
        <v>0.19062999999999999</v>
      </c>
      <c r="AE49" s="2">
        <v>1.6029999999999999E-2</v>
      </c>
      <c r="AF49">
        <v>60.591000000000001</v>
      </c>
      <c r="AG49">
        <v>46658.379000000001</v>
      </c>
      <c r="AH49">
        <v>1.036</v>
      </c>
      <c r="AI49" s="2">
        <v>2.6680000000000002E-2</v>
      </c>
      <c r="AJ49">
        <v>79.527000000000001</v>
      </c>
      <c r="AK49">
        <v>4466.8239999999996</v>
      </c>
      <c r="AL49">
        <v>367.76</v>
      </c>
      <c r="AM49">
        <v>37174.879000000001</v>
      </c>
      <c r="AN49">
        <v>3060.6610000000001</v>
      </c>
      <c r="AO49" s="2">
        <v>0.57325999999999999</v>
      </c>
      <c r="AP49" s="2">
        <v>0.79674999999999996</v>
      </c>
      <c r="AQ49" s="2">
        <v>0.10305999999999998</v>
      </c>
      <c r="AR49">
        <v>79.311000000000007</v>
      </c>
      <c r="AS49">
        <v>848.84699999999998</v>
      </c>
      <c r="AT49">
        <v>979</v>
      </c>
      <c r="AU49">
        <v>80.62</v>
      </c>
      <c r="AV49">
        <v>10310.126</v>
      </c>
      <c r="AW49" s="2">
        <v>-7.9930000000000001E-2</v>
      </c>
      <c r="AX49">
        <v>-6.0140000000000002</v>
      </c>
      <c r="AY49">
        <v>840.875</v>
      </c>
      <c r="AZ49">
        <v>69.23</v>
      </c>
      <c r="BA49" s="2">
        <v>0.12567</v>
      </c>
      <c r="BB49" s="2">
        <v>0.22097</v>
      </c>
      <c r="BC49">
        <v>319.67</v>
      </c>
      <c r="BD49" s="2">
        <v>8.2680000000000003E-2</v>
      </c>
      <c r="BE49">
        <v>3.8980000000000001</v>
      </c>
      <c r="BF49">
        <v>55.002000000000002</v>
      </c>
      <c r="BG49">
        <v>249.601</v>
      </c>
      <c r="BH49">
        <v>20.55</v>
      </c>
      <c r="BI49">
        <v>668.06100000000004</v>
      </c>
      <c r="BJ49" s="2">
        <v>3.2029999999999996E-2</v>
      </c>
      <c r="BK49" s="2">
        <v>1.4319999999999999E-2</v>
      </c>
      <c r="BL49" s="2">
        <v>-1.959E-2</v>
      </c>
      <c r="BM49">
        <v>-18.934999999999999</v>
      </c>
      <c r="BN49">
        <v>780.79</v>
      </c>
      <c r="BO49">
        <v>3325.0970000000002</v>
      </c>
      <c r="BP49">
        <v>273.76</v>
      </c>
      <c r="BQ49">
        <v>9483.5010000000002</v>
      </c>
      <c r="BR49" s="2">
        <v>0.42674000000000001</v>
      </c>
      <c r="BS49" s="2">
        <v>0.20324999999999999</v>
      </c>
      <c r="BT49">
        <v>-50.52</v>
      </c>
      <c r="BU49" s="2">
        <v>-8.548E-2</v>
      </c>
      <c r="BV49" s="2">
        <v>-7.7920000000000003E-2</v>
      </c>
      <c r="BW49">
        <v>-19.776</v>
      </c>
      <c r="BX49">
        <v>217.41499999999999</v>
      </c>
      <c r="BY49">
        <v>1028</v>
      </c>
      <c r="BZ49">
        <v>85</v>
      </c>
      <c r="CA49">
        <v>2640.73</v>
      </c>
      <c r="CB49" s="2">
        <v>0.13</v>
      </c>
      <c r="CC49" s="2">
        <v>5.6600000000000004E-2</v>
      </c>
      <c r="CD49" s="2">
        <v>1.9539999999999998E-2</v>
      </c>
      <c r="CE49">
        <v>25.335999999999999</v>
      </c>
      <c r="CF49">
        <v>1321.8789999999999</v>
      </c>
      <c r="CG49">
        <v>308.38799999999998</v>
      </c>
      <c r="CH49">
        <v>25.39</v>
      </c>
      <c r="CI49">
        <v>16055.575999999999</v>
      </c>
      <c r="CJ49" s="2">
        <v>-2.8050000000000002E-2</v>
      </c>
      <c r="CK49">
        <v>-0.85499999999999998</v>
      </c>
      <c r="CL49">
        <v>359.99599999999998</v>
      </c>
      <c r="CM49">
        <v>29.638999999999999</v>
      </c>
      <c r="CN49" s="2">
        <v>3.9580000000000004E-2</v>
      </c>
      <c r="CO49" s="2">
        <v>0.34411000000000003</v>
      </c>
      <c r="CP49">
        <v>163.024</v>
      </c>
      <c r="CQ49">
        <v>51.1</v>
      </c>
      <c r="CR49">
        <v>0.17</v>
      </c>
      <c r="CS49" s="2">
        <v>1.2760000000000001E-2</v>
      </c>
      <c r="CT49">
        <v>2.028</v>
      </c>
      <c r="CU49">
        <v>621</v>
      </c>
      <c r="CV49">
        <v>2</v>
      </c>
      <c r="CW49">
        <v>1980.0909999999999</v>
      </c>
      <c r="CX49" s="2">
        <v>7.9649999999999999E-2</v>
      </c>
      <c r="CY49" s="2">
        <v>2.5999999999999998E-4</v>
      </c>
      <c r="CZ49" s="2">
        <v>4.2439999999999999E-2</v>
      </c>
      <c r="DA49">
        <v>7791.9210000000003</v>
      </c>
      <c r="DB49">
        <v>3841.451</v>
      </c>
      <c r="DC49" s="2">
        <v>4.8700000000000002E-3</v>
      </c>
      <c r="DD49">
        <v>0.84099999999999997</v>
      </c>
      <c r="DE49">
        <v>563.375</v>
      </c>
      <c r="DF49">
        <v>2297.1779999999999</v>
      </c>
      <c r="DG49">
        <v>189.13</v>
      </c>
      <c r="DH49">
        <v>6842.7709999999997</v>
      </c>
      <c r="DI49" s="2">
        <v>0.29481999999999997</v>
      </c>
      <c r="DJ49" s="2">
        <v>0.14666000000000001</v>
      </c>
      <c r="DK49" s="2">
        <v>-1.366E-2</v>
      </c>
      <c r="DL49">
        <v>-1.9990000000000001</v>
      </c>
      <c r="DM49">
        <v>100.539</v>
      </c>
      <c r="DN49">
        <v>456.20499999999998</v>
      </c>
      <c r="DO49">
        <v>37.56</v>
      </c>
      <c r="DP49">
        <v>1221.1469999999999</v>
      </c>
      <c r="DQ49" s="2">
        <v>5.8550000000000005E-2</v>
      </c>
      <c r="DR49" s="2">
        <v>2.6169999999999999E-2</v>
      </c>
      <c r="DS49" s="2">
        <v>-8.6800000000000002E-3</v>
      </c>
      <c r="DT49">
        <v>-3.1589999999999998</v>
      </c>
      <c r="DU49">
        <v>213.96</v>
      </c>
      <c r="DV49">
        <v>971</v>
      </c>
      <c r="DW49">
        <v>79.92</v>
      </c>
      <c r="DX49">
        <v>2598.759</v>
      </c>
      <c r="DY49" s="2">
        <v>0.12458</v>
      </c>
      <c r="DZ49" s="2">
        <v>5.57E-2</v>
      </c>
    </row>
    <row r="50" spans="1:130" x14ac:dyDescent="0.3">
      <c r="A50" t="s">
        <v>166</v>
      </c>
      <c r="B50">
        <v>2017</v>
      </c>
      <c r="C50" t="s">
        <v>167</v>
      </c>
      <c r="D50" s="1">
        <v>64144092</v>
      </c>
      <c r="E50" s="1">
        <v>2549057585152</v>
      </c>
      <c r="F50" s="1">
        <v>2549057.5851520002</v>
      </c>
      <c r="G50" s="2">
        <v>7.8100000000000001E-3</v>
      </c>
      <c r="H50">
        <v>0.25700000000000001</v>
      </c>
      <c r="I50">
        <v>517.63900000000001</v>
      </c>
      <c r="J50">
        <v>33.204000000000001</v>
      </c>
      <c r="K50">
        <v>121</v>
      </c>
      <c r="L50">
        <v>7.78</v>
      </c>
      <c r="M50" s="2">
        <v>1.3979999999999999E-2</v>
      </c>
      <c r="N50" s="2">
        <v>1.205E-2</v>
      </c>
      <c r="O50">
        <v>78.213999999999999</v>
      </c>
      <c r="P50" s="2">
        <v>9.579E-2</v>
      </c>
      <c r="Q50">
        <v>9.532</v>
      </c>
      <c r="R50">
        <v>1700.019</v>
      </c>
      <c r="S50">
        <v>109.04600000000001</v>
      </c>
      <c r="T50">
        <v>199.70699999999999</v>
      </c>
      <c r="U50">
        <v>12.81</v>
      </c>
      <c r="Z50" s="2">
        <v>2.3019999999999999E-2</v>
      </c>
      <c r="AA50" s="2">
        <v>3.9580000000000004E-2</v>
      </c>
      <c r="AB50">
        <v>516.29</v>
      </c>
      <c r="AC50">
        <v>556.41999999999996</v>
      </c>
      <c r="AD50" s="2">
        <v>0.28068000000000004</v>
      </c>
      <c r="AE50" s="2">
        <v>-3.81E-3</v>
      </c>
      <c r="AF50">
        <v>-10.532999999999999</v>
      </c>
      <c r="AG50">
        <v>42948.913999999997</v>
      </c>
      <c r="AH50">
        <v>1.081</v>
      </c>
      <c r="AI50" s="2">
        <v>1.7739999999999999E-2</v>
      </c>
      <c r="AJ50">
        <v>25.419</v>
      </c>
      <c r="AK50">
        <v>1020.047</v>
      </c>
      <c r="AL50">
        <v>65.430000000000007</v>
      </c>
      <c r="AM50">
        <v>22733.664000000001</v>
      </c>
      <c r="AN50">
        <v>1458.23</v>
      </c>
      <c r="AO50" s="2">
        <v>0.11759</v>
      </c>
      <c r="AP50" s="2">
        <v>0.52932000000000001</v>
      </c>
      <c r="AQ50" s="2">
        <v>5.2900000000000004E-3</v>
      </c>
      <c r="AR50">
        <v>2.3580000000000001</v>
      </c>
      <c r="AS50">
        <v>447.65699999999998</v>
      </c>
      <c r="AT50">
        <v>631</v>
      </c>
      <c r="AU50">
        <v>40.5</v>
      </c>
      <c r="AV50">
        <v>6978.9269999999997</v>
      </c>
      <c r="BA50" s="2">
        <v>7.2789999999999994E-2</v>
      </c>
      <c r="BB50" s="2">
        <v>0.16249</v>
      </c>
      <c r="BC50">
        <v>43.52</v>
      </c>
      <c r="BD50" s="2">
        <v>-0.18288000000000001</v>
      </c>
      <c r="BE50">
        <v>-30.109000000000002</v>
      </c>
      <c r="BF50">
        <v>130.309</v>
      </c>
      <c r="BG50">
        <v>779.495</v>
      </c>
      <c r="BH50">
        <v>50</v>
      </c>
      <c r="BI50">
        <v>2031.498</v>
      </c>
      <c r="BJ50" s="2">
        <v>8.9860000000000009E-2</v>
      </c>
      <c r="BK50" s="2">
        <v>4.7300000000000002E-2</v>
      </c>
      <c r="BL50" s="2">
        <v>-2.0310000000000002E-2</v>
      </c>
      <c r="BM50">
        <v>-35.951999999999998</v>
      </c>
      <c r="BN50">
        <v>1296.6890000000001</v>
      </c>
      <c r="BO50">
        <v>7654.4849999999997</v>
      </c>
      <c r="BP50">
        <v>490.99</v>
      </c>
      <c r="BQ50">
        <v>20215.25</v>
      </c>
      <c r="BR50" s="2">
        <v>0.88241000000000003</v>
      </c>
      <c r="BS50" s="2">
        <v>0.47067999999999999</v>
      </c>
      <c r="BT50">
        <v>-40.130000000000003</v>
      </c>
      <c r="BU50" s="2">
        <v>-7.7729999999999994E-2</v>
      </c>
      <c r="BV50" s="2">
        <v>-1.2E-2</v>
      </c>
      <c r="BW50">
        <v>-18.443999999999999</v>
      </c>
      <c r="BX50">
        <v>1017.3150000000001</v>
      </c>
      <c r="BY50">
        <v>6210</v>
      </c>
      <c r="BZ50">
        <v>398</v>
      </c>
      <c r="CA50">
        <v>15859.839</v>
      </c>
      <c r="CB50" s="2">
        <v>0.72</v>
      </c>
      <c r="CC50" s="2">
        <v>0.36926999999999999</v>
      </c>
      <c r="CD50" s="2">
        <v>1.524E-2</v>
      </c>
      <c r="CE50">
        <v>13.529</v>
      </c>
      <c r="CF50">
        <v>901.52700000000004</v>
      </c>
      <c r="CG50">
        <v>188.95</v>
      </c>
      <c r="CH50">
        <v>12.12</v>
      </c>
      <c r="CI50">
        <v>14054.717000000001</v>
      </c>
      <c r="CN50" s="2">
        <v>2.1780000000000001E-2</v>
      </c>
      <c r="CO50" s="2">
        <v>0.32723999999999998</v>
      </c>
      <c r="CP50">
        <v>26.318999999999999</v>
      </c>
      <c r="CQ50">
        <v>8.43</v>
      </c>
      <c r="CR50">
        <v>0.65</v>
      </c>
      <c r="CS50" s="2">
        <v>6.9169999999999995E-2</v>
      </c>
      <c r="CT50">
        <v>1.7</v>
      </c>
      <c r="CU50">
        <v>131</v>
      </c>
      <c r="CV50">
        <v>10</v>
      </c>
      <c r="CW50">
        <v>410.31299999999999</v>
      </c>
      <c r="CX50" s="2">
        <v>1.5149999999999999E-2</v>
      </c>
      <c r="CY50" s="2">
        <v>1.17E-3</v>
      </c>
      <c r="CZ50" s="2">
        <v>9.5499999999999995E-3</v>
      </c>
      <c r="DA50">
        <v>8674.5319999999992</v>
      </c>
      <c r="DB50">
        <v>2754.9189999999999</v>
      </c>
      <c r="DC50" s="2">
        <v>-4.6089999999999999E-2</v>
      </c>
      <c r="DD50">
        <v>-17.507999999999999</v>
      </c>
      <c r="DE50">
        <v>279.37400000000002</v>
      </c>
      <c r="DF50">
        <v>1444.0920000000001</v>
      </c>
      <c r="DG50">
        <v>92.63</v>
      </c>
      <c r="DH50">
        <v>4355.4110000000001</v>
      </c>
      <c r="DI50" s="2">
        <v>0.16646999999999998</v>
      </c>
      <c r="DJ50" s="2">
        <v>0.10141</v>
      </c>
      <c r="DK50" s="2">
        <v>0.11484</v>
      </c>
      <c r="DL50">
        <v>2.367</v>
      </c>
      <c r="DM50">
        <v>24.225000000000001</v>
      </c>
      <c r="DN50">
        <v>149.50700000000001</v>
      </c>
      <c r="DO50">
        <v>9.59</v>
      </c>
      <c r="DP50">
        <v>377.661</v>
      </c>
      <c r="DQ50" s="2">
        <v>1.7239999999999998E-2</v>
      </c>
      <c r="DR50" s="2">
        <v>8.7899999999999992E-3</v>
      </c>
      <c r="DS50" s="2">
        <v>0.15185999999999999</v>
      </c>
      <c r="DT50">
        <v>8.2759999999999998</v>
      </c>
      <c r="DU50">
        <v>65.317999999999998</v>
      </c>
      <c r="DV50">
        <v>384</v>
      </c>
      <c r="DW50">
        <v>24.61</v>
      </c>
      <c r="DX50">
        <v>1018.299</v>
      </c>
      <c r="DY50" s="2">
        <v>4.4229999999999998E-2</v>
      </c>
      <c r="DZ50" s="2">
        <v>2.3709999999999998E-2</v>
      </c>
    </row>
    <row r="51" spans="1:130" x14ac:dyDescent="0.3">
      <c r="A51" t="s">
        <v>165</v>
      </c>
      <c r="B51">
        <v>2017</v>
      </c>
      <c r="C51" t="s">
        <v>168</v>
      </c>
      <c r="D51" s="1">
        <v>82624368</v>
      </c>
      <c r="E51" s="1">
        <v>3808389496832</v>
      </c>
      <c r="F51" s="1">
        <v>3808389.4968320001</v>
      </c>
      <c r="G51" s="2">
        <v>1.729E-2</v>
      </c>
      <c r="H51">
        <v>0.53400000000000003</v>
      </c>
      <c r="I51">
        <v>379.84100000000001</v>
      </c>
      <c r="J51">
        <v>31.384</v>
      </c>
      <c r="K51">
        <v>616</v>
      </c>
      <c r="L51">
        <v>50.92</v>
      </c>
      <c r="M51" s="2">
        <v>7.9009999999999997E-2</v>
      </c>
      <c r="N51" s="2">
        <v>8.0700000000000008E-3</v>
      </c>
      <c r="O51">
        <v>469.71100000000001</v>
      </c>
      <c r="P51" s="2">
        <v>-6.0679999999999998E-2</v>
      </c>
      <c r="Q51">
        <v>-54.005000000000003</v>
      </c>
      <c r="R51">
        <v>10117.228999999999</v>
      </c>
      <c r="S51">
        <v>835.93</v>
      </c>
      <c r="T51">
        <v>2919.962</v>
      </c>
      <c r="U51">
        <v>241.26</v>
      </c>
      <c r="V51" s="2">
        <v>-5.4800000000000005E-3</v>
      </c>
      <c r="W51">
        <v>-2.528</v>
      </c>
      <c r="X51">
        <v>5548.5389999999998</v>
      </c>
      <c r="Y51">
        <v>458.44400000000002</v>
      </c>
      <c r="Z51" s="2">
        <v>0.37436000000000003</v>
      </c>
      <c r="AA51" s="2">
        <v>0.215</v>
      </c>
      <c r="AB51">
        <v>592</v>
      </c>
      <c r="AC51">
        <v>644.46</v>
      </c>
      <c r="AD51" s="2">
        <v>0.19042999999999999</v>
      </c>
      <c r="AE51" s="2">
        <v>1.2150000000000001E-2</v>
      </c>
      <c r="AF51">
        <v>46.682000000000002</v>
      </c>
      <c r="AG51">
        <v>47057.949000000001</v>
      </c>
      <c r="AH51">
        <v>1.0209999999999999</v>
      </c>
      <c r="AI51" s="2">
        <v>5.0000000000000002E-5</v>
      </c>
      <c r="AJ51">
        <v>0.16</v>
      </c>
      <c r="AK51">
        <v>4265.8119999999999</v>
      </c>
      <c r="AL51">
        <v>352.46</v>
      </c>
      <c r="AM51">
        <v>37045.012000000002</v>
      </c>
      <c r="AN51">
        <v>3060.8209999999999</v>
      </c>
      <c r="AO51" s="2">
        <v>0.54691000000000001</v>
      </c>
      <c r="AP51" s="2">
        <v>0.78721999999999992</v>
      </c>
      <c r="AQ51" s="2">
        <v>3.3620000000000004E-2</v>
      </c>
      <c r="AR51">
        <v>28.536999999999999</v>
      </c>
      <c r="AS51">
        <v>877.38499999999999</v>
      </c>
      <c r="AT51">
        <v>1041</v>
      </c>
      <c r="AU51">
        <v>86.04</v>
      </c>
      <c r="AV51">
        <v>10618.958000000001</v>
      </c>
      <c r="AW51" s="2">
        <v>-7.8990000000000005E-2</v>
      </c>
      <c r="AX51">
        <v>-5.4690000000000003</v>
      </c>
      <c r="AY51">
        <v>771.70500000000004</v>
      </c>
      <c r="AZ51">
        <v>63.762</v>
      </c>
      <c r="BA51" s="2">
        <v>0.13351000000000002</v>
      </c>
      <c r="BB51" s="2">
        <v>0.22566</v>
      </c>
      <c r="BC51">
        <v>302.70999999999998</v>
      </c>
      <c r="BD51" s="2">
        <v>-1.9269999999999999E-2</v>
      </c>
      <c r="BE51">
        <v>-1.377</v>
      </c>
      <c r="BF51">
        <v>53.625</v>
      </c>
      <c r="BG51">
        <v>243.875</v>
      </c>
      <c r="BH51">
        <v>20.149999999999999</v>
      </c>
      <c r="BI51">
        <v>649.02200000000005</v>
      </c>
      <c r="BJ51" s="2">
        <v>3.1269999999999999E-2</v>
      </c>
      <c r="BK51" s="2">
        <v>1.379E-2</v>
      </c>
      <c r="BL51" s="2">
        <v>6.1650000000000003E-2</v>
      </c>
      <c r="BM51">
        <v>46.523000000000003</v>
      </c>
      <c r="BN51">
        <v>827.31299999999999</v>
      </c>
      <c r="BO51">
        <v>3534.0659999999998</v>
      </c>
      <c r="BP51">
        <v>292</v>
      </c>
      <c r="BQ51">
        <v>10012.939</v>
      </c>
      <c r="BR51" s="2">
        <v>0.45308999999999999</v>
      </c>
      <c r="BS51" s="2">
        <v>0.21278</v>
      </c>
      <c r="BT51">
        <v>-52.46</v>
      </c>
      <c r="BU51" s="2">
        <v>-8.8610000000000008E-2</v>
      </c>
      <c r="BV51" s="2">
        <v>-9.8190000000000013E-2</v>
      </c>
      <c r="BW51">
        <v>-22.501000000000001</v>
      </c>
      <c r="BX51">
        <v>194.91399999999999</v>
      </c>
      <c r="BY51">
        <v>924</v>
      </c>
      <c r="BZ51">
        <v>76</v>
      </c>
      <c r="CA51">
        <v>2359.0430000000001</v>
      </c>
      <c r="CB51" s="2">
        <v>0.12</v>
      </c>
      <c r="CC51" s="2">
        <v>5.0130000000000001E-2</v>
      </c>
      <c r="CD51" s="2">
        <v>1.9390000000000001E-2</v>
      </c>
      <c r="CE51">
        <v>25.628</v>
      </c>
      <c r="CF51">
        <v>1347.5060000000001</v>
      </c>
      <c r="CG51">
        <v>304.51100000000002</v>
      </c>
      <c r="CH51">
        <v>25.16</v>
      </c>
      <c r="CI51">
        <v>16308.822</v>
      </c>
      <c r="CN51" s="2">
        <v>3.9039999999999998E-2</v>
      </c>
      <c r="CO51" s="2">
        <v>0.34656999999999999</v>
      </c>
      <c r="CP51">
        <v>162.95500000000001</v>
      </c>
      <c r="CQ51">
        <v>51.08</v>
      </c>
      <c r="CR51">
        <v>0.16</v>
      </c>
      <c r="CS51" s="2">
        <v>-4.4999999999999999E-4</v>
      </c>
      <c r="CT51">
        <v>-6.9000000000000006E-2</v>
      </c>
      <c r="CU51">
        <v>618</v>
      </c>
      <c r="CV51">
        <v>2</v>
      </c>
      <c r="CW51">
        <v>1972.241</v>
      </c>
      <c r="CX51" s="2">
        <v>7.9259999999999997E-2</v>
      </c>
      <c r="CY51" s="2">
        <v>2.5000000000000001E-4</v>
      </c>
      <c r="CZ51" s="2">
        <v>4.1909999999999996E-2</v>
      </c>
      <c r="DA51">
        <v>7799.8789999999999</v>
      </c>
      <c r="DB51">
        <v>3888.1329999999998</v>
      </c>
      <c r="DC51" s="2">
        <v>0.12314</v>
      </c>
      <c r="DD51">
        <v>69.022999999999996</v>
      </c>
      <c r="DE51">
        <v>632.39800000000002</v>
      </c>
      <c r="DF51">
        <v>2610.3679999999999</v>
      </c>
      <c r="DG51">
        <v>215.68</v>
      </c>
      <c r="DH51">
        <v>7653.8959999999997</v>
      </c>
      <c r="DI51" s="2">
        <v>0.33466999999999997</v>
      </c>
      <c r="DJ51" s="2">
        <v>0.16265000000000002</v>
      </c>
      <c r="DK51" s="2">
        <v>3.209E-2</v>
      </c>
      <c r="DL51">
        <v>2.6150000000000002</v>
      </c>
      <c r="DM51">
        <v>103.154</v>
      </c>
      <c r="DN51">
        <v>469.11099999999999</v>
      </c>
      <c r="DO51">
        <v>38.76</v>
      </c>
      <c r="DP51">
        <v>1248.473</v>
      </c>
      <c r="DQ51" s="2">
        <v>6.0139999999999999E-2</v>
      </c>
      <c r="DR51" s="2">
        <v>2.6530000000000001E-2</v>
      </c>
      <c r="DS51" s="2">
        <v>0.32241999999999998</v>
      </c>
      <c r="DT51">
        <v>67.319999999999993</v>
      </c>
      <c r="DU51">
        <v>281.27999999999997</v>
      </c>
      <c r="DV51">
        <v>1279</v>
      </c>
      <c r="DW51">
        <v>105.69</v>
      </c>
      <c r="DX51">
        <v>3404.32</v>
      </c>
      <c r="DY51" s="2">
        <v>0.16399999999999998</v>
      </c>
      <c r="DZ51" s="2">
        <v>7.2340000000000002E-2</v>
      </c>
    </row>
    <row r="52" spans="1:130" x14ac:dyDescent="0.3">
      <c r="A52" t="s">
        <v>166</v>
      </c>
      <c r="B52">
        <v>2018</v>
      </c>
      <c r="C52" t="s">
        <v>167</v>
      </c>
      <c r="D52" s="1">
        <v>64277812</v>
      </c>
      <c r="E52" s="1">
        <v>2596599234560</v>
      </c>
      <c r="F52" s="1">
        <v>2596599.2345599998</v>
      </c>
      <c r="G52" s="2">
        <v>-1.137E-2</v>
      </c>
      <c r="H52">
        <v>-0.378</v>
      </c>
      <c r="I52">
        <v>510.68799999999999</v>
      </c>
      <c r="J52">
        <v>32.826000000000001</v>
      </c>
      <c r="K52">
        <v>130</v>
      </c>
      <c r="L52">
        <v>8.3800000000000008</v>
      </c>
      <c r="M52" s="2">
        <v>1.455E-2</v>
      </c>
      <c r="N52" s="2">
        <v>1.1770000000000001E-2</v>
      </c>
      <c r="O52">
        <v>59.938000000000002</v>
      </c>
      <c r="P52" s="2">
        <v>-8.1079999999999999E-2</v>
      </c>
      <c r="Q52">
        <v>-8.8409999999999993</v>
      </c>
      <c r="R52">
        <v>1558.932</v>
      </c>
      <c r="S52">
        <v>100.205</v>
      </c>
      <c r="T52">
        <v>129.28299999999999</v>
      </c>
      <c r="U52">
        <v>8.31</v>
      </c>
      <c r="Z52" s="2">
        <v>1.443E-2</v>
      </c>
      <c r="AA52" s="2">
        <v>3.5929999999999997E-2</v>
      </c>
      <c r="AB52">
        <v>512.96</v>
      </c>
      <c r="AC52">
        <v>575.92999999999995</v>
      </c>
      <c r="AD52" s="2">
        <v>0.29271999999999998</v>
      </c>
      <c r="AE52" s="2">
        <v>1.2350000000000002E-2</v>
      </c>
      <c r="AF52">
        <v>34.036999999999999</v>
      </c>
      <c r="AG52">
        <v>43389.093999999997</v>
      </c>
      <c r="AH52">
        <v>1.0740000000000001</v>
      </c>
      <c r="AI52" s="2">
        <v>-3.4279999999999998E-2</v>
      </c>
      <c r="AJ52">
        <v>-49.99</v>
      </c>
      <c r="AK52">
        <v>769.78399999999999</v>
      </c>
      <c r="AL52">
        <v>49.48</v>
      </c>
      <c r="AM52">
        <v>21908.648000000001</v>
      </c>
      <c r="AN52">
        <v>1408.24</v>
      </c>
      <c r="AO52" s="2">
        <v>8.5909999999999986E-2</v>
      </c>
      <c r="AP52" s="2">
        <v>0.50492999999999999</v>
      </c>
      <c r="AQ52" s="2">
        <v>-4.3049999999999998E-2</v>
      </c>
      <c r="AR52">
        <v>-19.273</v>
      </c>
      <c r="AS52">
        <v>428.38400000000001</v>
      </c>
      <c r="AT52">
        <v>476</v>
      </c>
      <c r="AU52">
        <v>30.61</v>
      </c>
      <c r="AV52">
        <v>6664.5680000000002</v>
      </c>
      <c r="BA52" s="2">
        <v>5.3150000000000003E-2</v>
      </c>
      <c r="BB52" s="2">
        <v>0.15359999999999999</v>
      </c>
      <c r="BC52">
        <v>34.520000000000003</v>
      </c>
      <c r="BD52" s="2">
        <v>0.30535000000000001</v>
      </c>
      <c r="BE52">
        <v>38.795000000000002</v>
      </c>
      <c r="BF52">
        <v>169.10400000000001</v>
      </c>
      <c r="BG52">
        <v>1012.947</v>
      </c>
      <c r="BH52">
        <v>65.11</v>
      </c>
      <c r="BI52">
        <v>2630.8249999999998</v>
      </c>
      <c r="BJ52" s="2">
        <v>0.11305</v>
      </c>
      <c r="BK52" s="2">
        <v>6.0629999999999996E-2</v>
      </c>
      <c r="BL52" s="2">
        <v>6.6549999999999998E-2</v>
      </c>
      <c r="BM52">
        <v>84.027000000000001</v>
      </c>
      <c r="BN52">
        <v>1380.7159999999999</v>
      </c>
      <c r="BO52">
        <v>8190.2290000000003</v>
      </c>
      <c r="BP52">
        <v>526.45000000000005</v>
      </c>
      <c r="BQ52">
        <v>21480.447</v>
      </c>
      <c r="BR52" s="2">
        <v>0.91409000000000007</v>
      </c>
      <c r="BS52" s="2">
        <v>0.49506999999999995</v>
      </c>
      <c r="BT52">
        <v>-62.97</v>
      </c>
      <c r="BU52" s="2">
        <v>-0.12275999999999999</v>
      </c>
      <c r="BV52" s="2">
        <v>3.6610000000000004E-2</v>
      </c>
      <c r="BW52">
        <v>31.074000000000002</v>
      </c>
      <c r="BX52">
        <v>1048.3889999999999</v>
      </c>
      <c r="BY52">
        <v>6424</v>
      </c>
      <c r="BZ52">
        <v>413</v>
      </c>
      <c r="CA52">
        <v>16310.272999999999</v>
      </c>
      <c r="CB52" s="2">
        <v>0.72</v>
      </c>
      <c r="CC52" s="2">
        <v>0.37591000000000002</v>
      </c>
      <c r="CD52" s="2">
        <v>-2.427E-2</v>
      </c>
      <c r="CE52">
        <v>-21.876000000000001</v>
      </c>
      <c r="CF52">
        <v>879.65099999999995</v>
      </c>
      <c r="CG52">
        <v>164.28700000000001</v>
      </c>
      <c r="CH52">
        <v>10.56</v>
      </c>
      <c r="CI52">
        <v>13685.147999999999</v>
      </c>
      <c r="CN52" s="2">
        <v>1.8340000000000002E-2</v>
      </c>
      <c r="CO52" s="2">
        <v>0.31541000000000002</v>
      </c>
      <c r="CP52">
        <v>27.588000000000001</v>
      </c>
      <c r="CQ52">
        <v>8.99</v>
      </c>
      <c r="CR52">
        <v>0.61</v>
      </c>
      <c r="CS52" s="2">
        <v>4.8209999999999996E-2</v>
      </c>
      <c r="CT52">
        <v>1.2689999999999999</v>
      </c>
      <c r="CU52">
        <v>140</v>
      </c>
      <c r="CV52">
        <v>9</v>
      </c>
      <c r="CW52">
        <v>429.20100000000002</v>
      </c>
      <c r="CX52" s="2">
        <v>1.5609999999999999E-2</v>
      </c>
      <c r="CY52" s="2">
        <v>1.06E-3</v>
      </c>
      <c r="CZ52" s="2">
        <v>9.8899999999999995E-3</v>
      </c>
      <c r="DA52">
        <v>8960.0120000000006</v>
      </c>
      <c r="DB52">
        <v>2788.9560000000001</v>
      </c>
      <c r="DC52" s="2">
        <v>0.16268999999999997</v>
      </c>
      <c r="DD52">
        <v>52.954000000000001</v>
      </c>
      <c r="DE52">
        <v>332.32799999999997</v>
      </c>
      <c r="DF52">
        <v>1765.9280000000001</v>
      </c>
      <c r="DG52">
        <v>113.51</v>
      </c>
      <c r="DH52">
        <v>5170.1750000000002</v>
      </c>
      <c r="DI52" s="2">
        <v>0.19708999999999999</v>
      </c>
      <c r="DJ52" s="2">
        <v>0.11916</v>
      </c>
      <c r="DK52" s="2">
        <v>0.13461000000000001</v>
      </c>
      <c r="DL52">
        <v>3.1</v>
      </c>
      <c r="DM52">
        <v>27.324999999999999</v>
      </c>
      <c r="DN52">
        <v>168.17599999999999</v>
      </c>
      <c r="DO52">
        <v>10.81</v>
      </c>
      <c r="DP52">
        <v>425.10599999999999</v>
      </c>
      <c r="DQ52" s="2">
        <v>1.8769999999999998E-2</v>
      </c>
      <c r="DR52" s="2">
        <v>9.7999999999999997E-3</v>
      </c>
      <c r="DS52" s="2">
        <v>0.16245000000000001</v>
      </c>
      <c r="DT52">
        <v>10.167</v>
      </c>
      <c r="DU52">
        <v>75.484999999999999</v>
      </c>
      <c r="DV52">
        <v>445</v>
      </c>
      <c r="DW52">
        <v>28.6</v>
      </c>
      <c r="DX52">
        <v>1174.354</v>
      </c>
      <c r="DY52" s="2">
        <v>4.9660000000000003E-2</v>
      </c>
      <c r="DZ52" s="2">
        <v>2.7069999999999997E-2</v>
      </c>
    </row>
    <row r="53" spans="1:130" x14ac:dyDescent="0.3">
      <c r="A53" t="s">
        <v>165</v>
      </c>
      <c r="B53">
        <v>2018</v>
      </c>
      <c r="C53" t="s">
        <v>168</v>
      </c>
      <c r="D53" s="1">
        <v>82896696</v>
      </c>
      <c r="E53" s="1">
        <v>3845758648320</v>
      </c>
      <c r="F53" s="1">
        <v>3845758.6483200002</v>
      </c>
      <c r="G53" s="2">
        <v>4.2500000000000003E-2</v>
      </c>
      <c r="H53">
        <v>1.3340000000000001</v>
      </c>
      <c r="I53">
        <v>394.68299999999999</v>
      </c>
      <c r="J53">
        <v>32.718000000000004</v>
      </c>
      <c r="K53">
        <v>613</v>
      </c>
      <c r="L53">
        <v>50.79</v>
      </c>
      <c r="M53" s="2">
        <v>8.0329999999999999E-2</v>
      </c>
      <c r="N53" s="2">
        <v>8.6400000000000001E-3</v>
      </c>
      <c r="O53">
        <v>454.54500000000002</v>
      </c>
      <c r="P53" s="2">
        <v>-3.4980000000000004E-2</v>
      </c>
      <c r="Q53">
        <v>-29.24</v>
      </c>
      <c r="R53">
        <v>9731.268</v>
      </c>
      <c r="S53">
        <v>806.69</v>
      </c>
      <c r="T53">
        <v>2752.3409999999999</v>
      </c>
      <c r="U53">
        <v>228.16</v>
      </c>
      <c r="V53" s="2">
        <v>-4.1520000000000001E-2</v>
      </c>
      <c r="W53">
        <v>-19.036999999999999</v>
      </c>
      <c r="X53">
        <v>5300.665</v>
      </c>
      <c r="Y53">
        <v>439.40800000000002</v>
      </c>
      <c r="Z53" s="2">
        <v>0.36085</v>
      </c>
      <c r="AA53" s="2">
        <v>0.21297999999999997</v>
      </c>
      <c r="AB53">
        <v>583.54</v>
      </c>
      <c r="AC53">
        <v>632.28</v>
      </c>
      <c r="AD53" s="2">
        <v>0.193</v>
      </c>
      <c r="AE53" s="2">
        <v>-2.5840000000000002E-2</v>
      </c>
      <c r="AF53">
        <v>-100.45099999999999</v>
      </c>
      <c r="AG53">
        <v>45691.597999999998</v>
      </c>
      <c r="AH53">
        <v>0.98499999999999999</v>
      </c>
      <c r="AI53" s="2">
        <v>-3.8019999999999998E-2</v>
      </c>
      <c r="AJ53">
        <v>-116.384</v>
      </c>
      <c r="AK53">
        <v>4021.27</v>
      </c>
      <c r="AL53">
        <v>333.35</v>
      </c>
      <c r="AM53">
        <v>35519.347999999998</v>
      </c>
      <c r="AN53">
        <v>2944.4369999999999</v>
      </c>
      <c r="AO53" s="2">
        <v>0.52722000000000002</v>
      </c>
      <c r="AP53" s="2">
        <v>0.77736999999999989</v>
      </c>
      <c r="AQ53" s="2">
        <v>-2.1520000000000001E-2</v>
      </c>
      <c r="AR53">
        <v>-18.878</v>
      </c>
      <c r="AS53">
        <v>858.50699999999995</v>
      </c>
      <c r="AT53">
        <v>984</v>
      </c>
      <c r="AU53">
        <v>81.56</v>
      </c>
      <c r="AV53">
        <v>10356.35</v>
      </c>
      <c r="AW53" s="2">
        <v>-0.13086</v>
      </c>
      <c r="AX53">
        <v>-8.3439999999999994</v>
      </c>
      <c r="AY53">
        <v>668.51599999999996</v>
      </c>
      <c r="AZ53">
        <v>55.417999999999999</v>
      </c>
      <c r="BA53" s="2">
        <v>0.12898999999999999</v>
      </c>
      <c r="BB53" s="2">
        <v>0.22666</v>
      </c>
      <c r="BC53">
        <v>287.39999999999998</v>
      </c>
      <c r="BD53" s="2">
        <v>-0.12194000000000001</v>
      </c>
      <c r="BE53">
        <v>-6.8140000000000001</v>
      </c>
      <c r="BF53">
        <v>46.811</v>
      </c>
      <c r="BG53">
        <v>213.398</v>
      </c>
      <c r="BH53">
        <v>17.690000000000001</v>
      </c>
      <c r="BI53">
        <v>564.68899999999996</v>
      </c>
      <c r="BJ53" s="2">
        <v>2.7980000000000001E-2</v>
      </c>
      <c r="BK53" s="2">
        <v>1.2359999999999999E-2</v>
      </c>
      <c r="BL53" s="2">
        <v>2.5559999999999999E-2</v>
      </c>
      <c r="BM53">
        <v>15.933</v>
      </c>
      <c r="BN53">
        <v>843.24599999999998</v>
      </c>
      <c r="BO53">
        <v>3606.0540000000001</v>
      </c>
      <c r="BP53">
        <v>298.93</v>
      </c>
      <c r="BQ53">
        <v>10172.254000000001</v>
      </c>
      <c r="BR53" s="2">
        <v>0.47277999999999998</v>
      </c>
      <c r="BS53" s="2">
        <v>0.22263000000000002</v>
      </c>
      <c r="BT53">
        <v>-48.74</v>
      </c>
      <c r="BU53" s="2">
        <v>-8.3519999999999997E-2</v>
      </c>
      <c r="BV53" s="2">
        <v>-4.1900000000000001E-3</v>
      </c>
      <c r="BW53">
        <v>-1.9510000000000001</v>
      </c>
      <c r="BX53">
        <v>192.96299999999999</v>
      </c>
      <c r="BY53">
        <v>917</v>
      </c>
      <c r="BZ53">
        <v>76</v>
      </c>
      <c r="CA53">
        <v>2327.7550000000001</v>
      </c>
      <c r="CB53" s="2">
        <v>0.12</v>
      </c>
      <c r="CC53" s="2">
        <v>5.0940000000000006E-2</v>
      </c>
      <c r="CD53" s="2">
        <v>-5.0659999999999997E-2</v>
      </c>
      <c r="CE53">
        <v>-68.266999999999996</v>
      </c>
      <c r="CF53">
        <v>1279.239</v>
      </c>
      <c r="CG53">
        <v>285.05399999999997</v>
      </c>
      <c r="CH53">
        <v>23.63</v>
      </c>
      <c r="CI53">
        <v>15431.727000000001</v>
      </c>
      <c r="CN53" s="2">
        <v>3.737E-2</v>
      </c>
      <c r="CO53" s="2">
        <v>0.33773999999999998</v>
      </c>
      <c r="CP53">
        <v>162.595</v>
      </c>
      <c r="CQ53">
        <v>50.97</v>
      </c>
      <c r="CR53">
        <v>0.18</v>
      </c>
      <c r="CS53" s="2">
        <v>-2.1299999999999999E-3</v>
      </c>
      <c r="CT53">
        <v>-0.36</v>
      </c>
      <c r="CU53">
        <v>615</v>
      </c>
      <c r="CV53">
        <v>2</v>
      </c>
      <c r="CW53">
        <v>1961.421</v>
      </c>
      <c r="CX53" s="2">
        <v>8.0610000000000001E-2</v>
      </c>
      <c r="CY53" s="2">
        <v>2.8000000000000003E-4</v>
      </c>
      <c r="CZ53" s="2">
        <v>4.2930000000000003E-2</v>
      </c>
      <c r="DA53">
        <v>7627.3249999999998</v>
      </c>
      <c r="DB53">
        <v>3787.6819999999998</v>
      </c>
      <c r="DC53" s="2">
        <v>3.4750000000000003E-2</v>
      </c>
      <c r="DD53">
        <v>17.885000000000002</v>
      </c>
      <c r="DE53">
        <v>650.28300000000002</v>
      </c>
      <c r="DF53">
        <v>2689.2510000000002</v>
      </c>
      <c r="DG53">
        <v>222.93</v>
      </c>
      <c r="DH53">
        <v>7844.5</v>
      </c>
      <c r="DI53" s="2">
        <v>0.35258</v>
      </c>
      <c r="DJ53" s="2">
        <v>0.17168</v>
      </c>
      <c r="DK53" s="2">
        <v>0.14341999999999999</v>
      </c>
      <c r="DL53">
        <v>14.103999999999999</v>
      </c>
      <c r="DM53">
        <v>117.259</v>
      </c>
      <c r="DN53">
        <v>534.64099999999996</v>
      </c>
      <c r="DO53">
        <v>44.32</v>
      </c>
      <c r="DP53">
        <v>1414.5150000000001</v>
      </c>
      <c r="DQ53" s="2">
        <v>7.0099999999999996E-2</v>
      </c>
      <c r="DR53" s="2">
        <v>3.0960000000000001E-2</v>
      </c>
      <c r="DS53" s="2">
        <v>4.0289999999999999E-2</v>
      </c>
      <c r="DT53">
        <v>9.6210000000000004</v>
      </c>
      <c r="DU53">
        <v>290.89999999999998</v>
      </c>
      <c r="DV53">
        <v>1326</v>
      </c>
      <c r="DW53">
        <v>109.95</v>
      </c>
      <c r="DX53">
        <v>3509.1909999999998</v>
      </c>
      <c r="DY53" s="2">
        <v>0.17388999999999999</v>
      </c>
      <c r="DZ53" s="2">
        <v>7.6799999999999993E-2</v>
      </c>
    </row>
    <row r="54" spans="1:130" x14ac:dyDescent="0.3">
      <c r="A54" t="s">
        <v>166</v>
      </c>
      <c r="B54">
        <v>2019</v>
      </c>
      <c r="C54" t="s">
        <v>167</v>
      </c>
      <c r="D54" s="1">
        <v>64399760</v>
      </c>
      <c r="E54" s="1">
        <v>2644453883904</v>
      </c>
      <c r="F54" s="1">
        <v>2644453.8839039998</v>
      </c>
      <c r="G54" s="2">
        <v>4.1299999999999996E-2</v>
      </c>
      <c r="H54">
        <v>1.3560000000000001</v>
      </c>
      <c r="I54">
        <v>530.77099999999996</v>
      </c>
      <c r="J54">
        <v>34.182000000000002</v>
      </c>
      <c r="K54">
        <v>134</v>
      </c>
      <c r="L54">
        <v>8.64</v>
      </c>
      <c r="M54" s="2">
        <v>1.5269999999999999E-2</v>
      </c>
      <c r="N54" s="2">
        <v>1.252E-2</v>
      </c>
      <c r="O54">
        <v>59.834000000000003</v>
      </c>
      <c r="P54" s="2">
        <v>-0.20739000000000002</v>
      </c>
      <c r="Q54">
        <v>-20.782</v>
      </c>
      <c r="R54">
        <v>1233.2819999999999</v>
      </c>
      <c r="S54">
        <v>79.423000000000002</v>
      </c>
      <c r="T54">
        <v>56.521999999999998</v>
      </c>
      <c r="U54">
        <v>3.64</v>
      </c>
      <c r="Z54" s="2">
        <v>6.43E-3</v>
      </c>
      <c r="AA54" s="2">
        <v>2.9100000000000001E-2</v>
      </c>
      <c r="AB54">
        <v>508.06</v>
      </c>
      <c r="AC54">
        <v>565.73</v>
      </c>
      <c r="AD54" s="2">
        <v>0.29241</v>
      </c>
      <c r="AE54" s="2">
        <v>-2.1299999999999999E-2</v>
      </c>
      <c r="AF54">
        <v>-59.393999999999998</v>
      </c>
      <c r="AG54">
        <v>42384.667999999998</v>
      </c>
      <c r="AH54">
        <v>1.032</v>
      </c>
      <c r="AI54" s="2">
        <v>-1.406E-2</v>
      </c>
      <c r="AJ54">
        <v>-19.798999999999999</v>
      </c>
      <c r="AK54">
        <v>833.23299999999995</v>
      </c>
      <c r="AL54">
        <v>53.66</v>
      </c>
      <c r="AM54">
        <v>21559.724999999999</v>
      </c>
      <c r="AN54">
        <v>1388.441</v>
      </c>
      <c r="AO54" s="2">
        <v>9.484999999999999E-2</v>
      </c>
      <c r="AP54" s="2">
        <v>0.50866999999999996</v>
      </c>
      <c r="AQ54" s="2">
        <v>1.9230000000000001E-2</v>
      </c>
      <c r="AR54">
        <v>8.2370000000000001</v>
      </c>
      <c r="AS54">
        <v>436.62</v>
      </c>
      <c r="AT54">
        <v>610</v>
      </c>
      <c r="AU54">
        <v>39.31</v>
      </c>
      <c r="AV54">
        <v>6779.8450000000003</v>
      </c>
      <c r="BA54" s="2">
        <v>6.9489999999999996E-2</v>
      </c>
      <c r="BB54" s="2">
        <v>0.15995999999999999</v>
      </c>
      <c r="BC54">
        <v>33.85</v>
      </c>
      <c r="BD54" s="2">
        <v>-0.12340999999999999</v>
      </c>
      <c r="BE54">
        <v>-21.416</v>
      </c>
      <c r="BF54">
        <v>147.68799999999999</v>
      </c>
      <c r="BG54">
        <v>883.69899999999996</v>
      </c>
      <c r="BH54">
        <v>56.91</v>
      </c>
      <c r="BI54">
        <v>2293.2930000000001</v>
      </c>
      <c r="BJ54" s="2">
        <v>0.10060000000000001</v>
      </c>
      <c r="BK54" s="2">
        <v>5.4109999999999998E-2</v>
      </c>
      <c r="BL54" s="2">
        <v>-2.3199999999999998E-2</v>
      </c>
      <c r="BM54">
        <v>-39.594999999999999</v>
      </c>
      <c r="BN54">
        <v>1341.1220000000001</v>
      </c>
      <c r="BO54">
        <v>7951.4269999999997</v>
      </c>
      <c r="BP54">
        <v>512.07000000000005</v>
      </c>
      <c r="BQ54">
        <v>20824.947</v>
      </c>
      <c r="BR54" s="2">
        <v>0.90515000000000001</v>
      </c>
      <c r="BS54" s="2">
        <v>0.49133000000000004</v>
      </c>
      <c r="BT54">
        <v>-57.67</v>
      </c>
      <c r="BU54" s="2">
        <v>-0.11351000000000001</v>
      </c>
      <c r="BV54" s="2">
        <v>-3.3730000000000003E-2</v>
      </c>
      <c r="BW54">
        <v>-39.100999999999999</v>
      </c>
      <c r="BX54">
        <v>1009.287</v>
      </c>
      <c r="BY54">
        <v>6196</v>
      </c>
      <c r="BZ54">
        <v>399</v>
      </c>
      <c r="CA54">
        <v>15672.221</v>
      </c>
      <c r="CB54" s="2">
        <v>0.71</v>
      </c>
      <c r="CC54" s="2">
        <v>0.36975999999999998</v>
      </c>
      <c r="CD54" s="2">
        <v>-8.2500000000000004E-3</v>
      </c>
      <c r="CE54">
        <v>-7.2539999999999996</v>
      </c>
      <c r="CF54">
        <v>872.39800000000002</v>
      </c>
      <c r="CG54">
        <v>166.30500000000001</v>
      </c>
      <c r="CH54">
        <v>10.71</v>
      </c>
      <c r="CI54">
        <v>13546.597</v>
      </c>
      <c r="CN54" s="2">
        <v>1.8929999999999999E-2</v>
      </c>
      <c r="CO54" s="2">
        <v>0.31961000000000001</v>
      </c>
      <c r="CP54">
        <v>28.016999999999999</v>
      </c>
      <c r="CQ54">
        <v>9.25</v>
      </c>
      <c r="CR54">
        <v>0.61</v>
      </c>
      <c r="CS54" s="2">
        <v>1.5489999999999999E-2</v>
      </c>
      <c r="CT54">
        <v>0.42799999999999999</v>
      </c>
      <c r="CU54">
        <v>144</v>
      </c>
      <c r="CV54">
        <v>9</v>
      </c>
      <c r="CW54">
        <v>435.04199999999997</v>
      </c>
      <c r="CX54" s="2">
        <v>1.635E-2</v>
      </c>
      <c r="CY54" s="2">
        <v>1.08E-3</v>
      </c>
      <c r="CZ54" s="2">
        <v>1.026E-2</v>
      </c>
      <c r="DA54">
        <v>8784.6589999999997</v>
      </c>
      <c r="DB54">
        <v>2729.5619999999999</v>
      </c>
      <c r="DC54" s="2">
        <v>6.9699999999999996E-3</v>
      </c>
      <c r="DD54">
        <v>-0.49299999999999999</v>
      </c>
      <c r="DE54">
        <v>331.834</v>
      </c>
      <c r="DF54">
        <v>1755.597</v>
      </c>
      <c r="DG54">
        <v>113.06</v>
      </c>
      <c r="DH54">
        <v>5152.7259999999997</v>
      </c>
      <c r="DI54" s="2">
        <v>0.19985</v>
      </c>
      <c r="DJ54" s="2">
        <v>0.12157</v>
      </c>
      <c r="DK54" s="2">
        <v>0.1278</v>
      </c>
      <c r="DL54">
        <v>3.379</v>
      </c>
      <c r="DM54">
        <v>30.704000000000001</v>
      </c>
      <c r="DN54">
        <v>189.131</v>
      </c>
      <c r="DO54">
        <v>12.18</v>
      </c>
      <c r="DP54">
        <v>476.76400000000001</v>
      </c>
      <c r="DQ54" s="2">
        <v>2.1530000000000001E-2</v>
      </c>
      <c r="DR54" s="2">
        <v>1.125E-2</v>
      </c>
      <c r="DS54" s="2">
        <v>0.21326000000000001</v>
      </c>
      <c r="DT54">
        <v>15.76</v>
      </c>
      <c r="DU54">
        <v>91.245000000000005</v>
      </c>
      <c r="DV54">
        <v>539</v>
      </c>
      <c r="DW54">
        <v>34.72</v>
      </c>
      <c r="DX54">
        <v>1416.855</v>
      </c>
      <c r="DY54" s="2">
        <v>6.1369999999999994E-2</v>
      </c>
      <c r="DZ54" s="2">
        <v>3.3430000000000001E-2</v>
      </c>
    </row>
    <row r="55" spans="1:130" x14ac:dyDescent="0.3">
      <c r="A55" t="s">
        <v>165</v>
      </c>
      <c r="B55">
        <v>2019</v>
      </c>
      <c r="C55" t="s">
        <v>168</v>
      </c>
      <c r="D55" s="1">
        <v>83148144</v>
      </c>
      <c r="E55" s="1">
        <v>3886392803328</v>
      </c>
      <c r="F55" s="1">
        <v>3886392.803328</v>
      </c>
      <c r="G55" s="2">
        <v>-1.7049999999999999E-2</v>
      </c>
      <c r="H55">
        <v>-0.55800000000000005</v>
      </c>
      <c r="I55">
        <v>386.78100000000001</v>
      </c>
      <c r="J55">
        <v>32.159999999999997</v>
      </c>
      <c r="K55">
        <v>603</v>
      </c>
      <c r="L55">
        <v>50.13</v>
      </c>
      <c r="M55" s="2">
        <v>8.3539999999999989E-2</v>
      </c>
      <c r="N55" s="2">
        <v>8.6999999999999994E-3</v>
      </c>
      <c r="O55">
        <v>392.49099999999999</v>
      </c>
      <c r="P55" s="2">
        <v>-0.22620000000000001</v>
      </c>
      <c r="Q55">
        <v>-182.47200000000001</v>
      </c>
      <c r="R55">
        <v>7507.2960000000003</v>
      </c>
      <c r="S55">
        <v>624.21799999999996</v>
      </c>
      <c r="T55">
        <v>2061.982</v>
      </c>
      <c r="U55">
        <v>171.45</v>
      </c>
      <c r="V55" s="2">
        <v>-0.24779000000000001</v>
      </c>
      <c r="W55">
        <v>-108.88</v>
      </c>
      <c r="X55">
        <v>3975.1669999999999</v>
      </c>
      <c r="Y55">
        <v>330.52800000000002</v>
      </c>
      <c r="Z55" s="2">
        <v>0.28571000000000002</v>
      </c>
      <c r="AA55" s="2">
        <v>0.16893999999999998</v>
      </c>
      <c r="AB55">
        <v>567.41999999999996</v>
      </c>
      <c r="AC55">
        <v>600.09</v>
      </c>
      <c r="AD55" s="2">
        <v>0.19005</v>
      </c>
      <c r="AE55" s="2">
        <v>-2.4510000000000001E-2</v>
      </c>
      <c r="AF55">
        <v>-92.843000000000004</v>
      </c>
      <c r="AG55">
        <v>44436.824000000001</v>
      </c>
      <c r="AH55">
        <v>0.95099999999999996</v>
      </c>
      <c r="AI55" s="2">
        <v>-4.5929999999999999E-2</v>
      </c>
      <c r="AJ55">
        <v>-135.22499999999999</v>
      </c>
      <c r="AK55">
        <v>3413.7869999999998</v>
      </c>
      <c r="AL55">
        <v>283.85000000000002</v>
      </c>
      <c r="AM55">
        <v>33785.625</v>
      </c>
      <c r="AN55">
        <v>2809.212</v>
      </c>
      <c r="AO55" s="2">
        <v>0.47301000000000004</v>
      </c>
      <c r="AP55" s="2">
        <v>0.76031000000000004</v>
      </c>
      <c r="AQ55" s="2">
        <v>3.9980000000000002E-2</v>
      </c>
      <c r="AR55">
        <v>34.323</v>
      </c>
      <c r="AS55">
        <v>892.83</v>
      </c>
      <c r="AT55">
        <v>1082</v>
      </c>
      <c r="AU55">
        <v>90</v>
      </c>
      <c r="AV55">
        <v>10737.825000000001</v>
      </c>
      <c r="AW55" s="2">
        <v>-3.8079999999999996E-2</v>
      </c>
      <c r="AX55">
        <v>-2.11</v>
      </c>
      <c r="AY55">
        <v>641.11599999999999</v>
      </c>
      <c r="AZ55">
        <v>53.308</v>
      </c>
      <c r="BA55" s="2">
        <v>0.14998</v>
      </c>
      <c r="BB55" s="2">
        <v>0.24164000000000002</v>
      </c>
      <c r="BC55">
        <v>235.53</v>
      </c>
      <c r="BD55" s="2">
        <v>0.11519</v>
      </c>
      <c r="BE55">
        <v>5.2</v>
      </c>
      <c r="BF55">
        <v>52.01</v>
      </c>
      <c r="BG55">
        <v>237.28700000000001</v>
      </c>
      <c r="BH55">
        <v>19.73</v>
      </c>
      <c r="BI55">
        <v>625.51400000000001</v>
      </c>
      <c r="BJ55" s="2">
        <v>3.288E-2</v>
      </c>
      <c r="BK55" s="2">
        <v>1.4079999999999999E-2</v>
      </c>
      <c r="BL55" s="2">
        <v>5.0479999999999997E-2</v>
      </c>
      <c r="BM55">
        <v>42.381999999999998</v>
      </c>
      <c r="BN55">
        <v>885.62800000000004</v>
      </c>
      <c r="BO55">
        <v>3803.3319999999999</v>
      </c>
      <c r="BP55">
        <v>316.24</v>
      </c>
      <c r="BQ55">
        <v>10651.205</v>
      </c>
      <c r="BR55" s="2">
        <v>0.52698999999999996</v>
      </c>
      <c r="BS55" s="2">
        <v>0.23969000000000001</v>
      </c>
      <c r="BT55">
        <v>-32.67</v>
      </c>
      <c r="BU55" s="2">
        <v>-5.7579999999999999E-2</v>
      </c>
      <c r="BV55" s="2">
        <v>-1.2279999999999999E-2</v>
      </c>
      <c r="BW55">
        <v>-3.073</v>
      </c>
      <c r="BX55">
        <v>189.89</v>
      </c>
      <c r="BY55">
        <v>903</v>
      </c>
      <c r="BZ55">
        <v>75</v>
      </c>
      <c r="CA55">
        <v>2283.759</v>
      </c>
      <c r="CB55" s="2">
        <v>0.13</v>
      </c>
      <c r="CC55" s="2">
        <v>5.1390000000000005E-2</v>
      </c>
      <c r="CD55" s="2">
        <v>1.01E-2</v>
      </c>
      <c r="CE55">
        <v>12.925000000000001</v>
      </c>
      <c r="CF55">
        <v>1292.164</v>
      </c>
      <c r="CG55">
        <v>269.399</v>
      </c>
      <c r="CH55">
        <v>22.4</v>
      </c>
      <c r="CI55">
        <v>15540.501</v>
      </c>
      <c r="CN55" s="2">
        <v>3.7330000000000002E-2</v>
      </c>
      <c r="CO55" s="2">
        <v>0.34972000000000003</v>
      </c>
      <c r="CP55">
        <v>160.51300000000001</v>
      </c>
      <c r="CQ55">
        <v>50.33</v>
      </c>
      <c r="CR55">
        <v>0.2</v>
      </c>
      <c r="CS55" s="2">
        <v>-1.2709999999999999E-2</v>
      </c>
      <c r="CT55">
        <v>-2.0830000000000002</v>
      </c>
      <c r="CU55">
        <v>605</v>
      </c>
      <c r="CV55">
        <v>2</v>
      </c>
      <c r="CW55">
        <v>1930.443</v>
      </c>
      <c r="CX55" s="2">
        <v>8.387E-2</v>
      </c>
      <c r="CY55" s="2">
        <v>3.3E-4</v>
      </c>
      <c r="CZ55" s="2">
        <v>4.3440000000000006E-2</v>
      </c>
      <c r="DA55">
        <v>7217.1189999999997</v>
      </c>
      <c r="DB55">
        <v>3694.84</v>
      </c>
      <c r="DC55" s="2">
        <v>6.9139999999999993E-2</v>
      </c>
      <c r="DD55">
        <v>45.454999999999998</v>
      </c>
      <c r="DE55">
        <v>695.73800000000006</v>
      </c>
      <c r="DF55">
        <v>2900.4859999999999</v>
      </c>
      <c r="DG55">
        <v>241.17</v>
      </c>
      <c r="DH55">
        <v>8367.4459999999999</v>
      </c>
      <c r="DI55" s="2">
        <v>0.40189000000000002</v>
      </c>
      <c r="DJ55" s="2">
        <v>0.1883</v>
      </c>
      <c r="DK55" s="2">
        <v>2.0330000000000001E-2</v>
      </c>
      <c r="DL55">
        <v>1.9430000000000001</v>
      </c>
      <c r="DM55">
        <v>119.20099999999999</v>
      </c>
      <c r="DN55">
        <v>543.84900000000005</v>
      </c>
      <c r="DO55">
        <v>45.22</v>
      </c>
      <c r="DP55">
        <v>1433.6020000000001</v>
      </c>
      <c r="DQ55" s="2">
        <v>7.5359999999999996E-2</v>
      </c>
      <c r="DR55" s="2">
        <v>3.2259999999999997E-2</v>
      </c>
      <c r="DS55" s="2">
        <v>0.14499999999999999</v>
      </c>
      <c r="DT55">
        <v>40.953000000000003</v>
      </c>
      <c r="DU55">
        <v>331.85300000000001</v>
      </c>
      <c r="DV55">
        <v>1514</v>
      </c>
      <c r="DW55">
        <v>125.89</v>
      </c>
      <c r="DX55">
        <v>3991.1060000000002</v>
      </c>
      <c r="DY55" s="2">
        <v>0.20979</v>
      </c>
      <c r="DZ55" s="2">
        <v>8.9819999999999997E-2</v>
      </c>
    </row>
    <row r="56" spans="1:130" x14ac:dyDescent="0.3">
      <c r="A56" t="s">
        <v>166</v>
      </c>
      <c r="B56">
        <v>2020</v>
      </c>
      <c r="C56" t="s">
        <v>167</v>
      </c>
      <c r="D56" s="1">
        <v>64480052</v>
      </c>
      <c r="E56" s="1">
        <v>2438594035712</v>
      </c>
      <c r="F56" s="1">
        <v>2438594.035712</v>
      </c>
      <c r="G56" s="2">
        <v>-9.8930000000000004E-2</v>
      </c>
      <c r="H56">
        <v>-3.3820000000000001</v>
      </c>
      <c r="I56">
        <v>477.66500000000002</v>
      </c>
      <c r="J56">
        <v>30.8</v>
      </c>
      <c r="K56">
        <v>136</v>
      </c>
      <c r="L56">
        <v>8.76</v>
      </c>
      <c r="M56" s="2">
        <v>1.6619999999999999E-2</v>
      </c>
      <c r="N56" s="2">
        <v>1.2619999999999999E-2</v>
      </c>
      <c r="O56">
        <v>59.082999999999998</v>
      </c>
      <c r="P56" s="2">
        <v>-0.29514000000000001</v>
      </c>
      <c r="Q56">
        <v>-23.440999999999999</v>
      </c>
      <c r="R56">
        <v>868.21199999999999</v>
      </c>
      <c r="S56">
        <v>55.981999999999999</v>
      </c>
      <c r="T56">
        <v>47.921999999999997</v>
      </c>
      <c r="U56">
        <v>3.09</v>
      </c>
      <c r="Z56" s="2">
        <v>5.8599999999999998E-3</v>
      </c>
      <c r="AA56" s="2">
        <v>2.2930000000000002E-2</v>
      </c>
      <c r="AB56">
        <v>482.18</v>
      </c>
      <c r="AC56">
        <v>527.22</v>
      </c>
      <c r="AD56" s="2">
        <v>0.31015999999999999</v>
      </c>
      <c r="AE56" s="2">
        <v>-0.10566</v>
      </c>
      <c r="AF56">
        <v>-288.39600000000002</v>
      </c>
      <c r="AG56">
        <v>37859.245999999999</v>
      </c>
      <c r="AH56">
        <v>1.0009999999999999</v>
      </c>
      <c r="AI56" s="2">
        <v>-0.14278000000000002</v>
      </c>
      <c r="AJ56">
        <v>-198.24199999999999</v>
      </c>
      <c r="AK56">
        <v>750.154</v>
      </c>
      <c r="AL56">
        <v>48.37</v>
      </c>
      <c r="AM56">
        <v>18458.41</v>
      </c>
      <c r="AN56">
        <v>1190.1990000000001</v>
      </c>
      <c r="AO56" s="2">
        <v>9.1750000000000012E-2</v>
      </c>
      <c r="AP56" s="2">
        <v>0.48755000000000004</v>
      </c>
      <c r="AQ56" s="2">
        <v>-7.0519999999999999E-2</v>
      </c>
      <c r="AR56">
        <v>-30.792000000000002</v>
      </c>
      <c r="AS56">
        <v>405.82799999999997</v>
      </c>
      <c r="AT56">
        <v>547</v>
      </c>
      <c r="AU56">
        <v>35.25</v>
      </c>
      <c r="AV56">
        <v>6293.8590000000004</v>
      </c>
      <c r="BA56" s="2">
        <v>6.6860000000000003E-2</v>
      </c>
      <c r="BB56" s="2">
        <v>0.16624</v>
      </c>
      <c r="BC56">
        <v>31.15</v>
      </c>
      <c r="BD56" s="2">
        <v>0.10131</v>
      </c>
      <c r="BE56">
        <v>14.365</v>
      </c>
      <c r="BF56">
        <v>162.05199999999999</v>
      </c>
      <c r="BG56">
        <v>970.68799999999999</v>
      </c>
      <c r="BH56">
        <v>62.59</v>
      </c>
      <c r="BI56">
        <v>2513.212</v>
      </c>
      <c r="BJ56" s="2">
        <v>0.11871999999999999</v>
      </c>
      <c r="BK56" s="2">
        <v>6.6379999999999995E-2</v>
      </c>
      <c r="BL56" s="2">
        <v>-6.7000000000000004E-2</v>
      </c>
      <c r="BM56">
        <v>-90.155000000000001</v>
      </c>
      <c r="BN56">
        <v>1250.9670000000001</v>
      </c>
      <c r="BO56">
        <v>7426.3280000000004</v>
      </c>
      <c r="BP56">
        <v>478.85</v>
      </c>
      <c r="BQ56">
        <v>19400.835999999999</v>
      </c>
      <c r="BR56" s="2">
        <v>0.90825</v>
      </c>
      <c r="BS56" s="2">
        <v>0.51244999999999996</v>
      </c>
      <c r="BT56">
        <v>-45.04</v>
      </c>
      <c r="BU56" s="2">
        <v>-9.3409999999999993E-2</v>
      </c>
      <c r="BV56" s="2">
        <v>-0.11323</v>
      </c>
      <c r="BW56">
        <v>-117.566</v>
      </c>
      <c r="BX56">
        <v>891.721</v>
      </c>
      <c r="BY56">
        <v>5487</v>
      </c>
      <c r="BZ56">
        <v>354</v>
      </c>
      <c r="CA56">
        <v>13829.414000000001</v>
      </c>
      <c r="CB56" s="2">
        <v>0.67</v>
      </c>
      <c r="CC56" s="2">
        <v>0.36527999999999999</v>
      </c>
      <c r="CD56" s="2">
        <v>-0.16507000000000002</v>
      </c>
      <c r="CE56">
        <v>-144.00899999999999</v>
      </c>
      <c r="CF56">
        <v>728.38900000000001</v>
      </c>
      <c r="CG56">
        <v>155.55199999999999</v>
      </c>
      <c r="CH56">
        <v>10.029999999999999</v>
      </c>
      <c r="CI56">
        <v>11296.34</v>
      </c>
      <c r="CN56" s="2">
        <v>1.9019999999999999E-2</v>
      </c>
      <c r="CO56" s="2">
        <v>0.29838000000000003</v>
      </c>
      <c r="CP56">
        <v>28.128</v>
      </c>
      <c r="CQ56">
        <v>9.3699999999999992</v>
      </c>
      <c r="CR56">
        <v>0.61</v>
      </c>
      <c r="CS56" s="2">
        <v>3.9300000000000003E-3</v>
      </c>
      <c r="CT56">
        <v>0.112</v>
      </c>
      <c r="CU56">
        <v>145</v>
      </c>
      <c r="CV56">
        <v>9</v>
      </c>
      <c r="CW56">
        <v>436.23099999999999</v>
      </c>
      <c r="CX56" s="2">
        <v>1.7769999999999998E-2</v>
      </c>
      <c r="CY56" s="2">
        <v>1.16E-3</v>
      </c>
      <c r="CZ56" s="2">
        <v>1.1519999999999999E-2</v>
      </c>
      <c r="DA56">
        <v>8176.482</v>
      </c>
      <c r="DB56">
        <v>2441.1660000000002</v>
      </c>
      <c r="DC56" s="2">
        <v>5.9980000000000006E-2</v>
      </c>
      <c r="DD56">
        <v>27.411000000000001</v>
      </c>
      <c r="DE56">
        <v>359.24599999999998</v>
      </c>
      <c r="DF56">
        <v>1938.894</v>
      </c>
      <c r="DG56">
        <v>125.02</v>
      </c>
      <c r="DH56">
        <v>5571.4219999999996</v>
      </c>
      <c r="DI56" s="2">
        <v>0.23713000000000001</v>
      </c>
      <c r="DJ56" s="2">
        <v>0.14715999999999999</v>
      </c>
      <c r="DK56" s="2">
        <v>9.172000000000001E-2</v>
      </c>
      <c r="DL56">
        <v>2.6930000000000001</v>
      </c>
      <c r="DM56">
        <v>33.396000000000001</v>
      </c>
      <c r="DN56">
        <v>204.714</v>
      </c>
      <c r="DO56">
        <v>13.2</v>
      </c>
      <c r="DP56">
        <v>517.93399999999997</v>
      </c>
      <c r="DQ56" s="2">
        <v>2.504E-2</v>
      </c>
      <c r="DR56" s="2">
        <v>1.3680000000000001E-2</v>
      </c>
      <c r="DS56" s="2">
        <v>0.15354999999999999</v>
      </c>
      <c r="DT56">
        <v>13.624000000000001</v>
      </c>
      <c r="DU56">
        <v>104.869</v>
      </c>
      <c r="DV56">
        <v>618</v>
      </c>
      <c r="DW56">
        <v>39.86</v>
      </c>
      <c r="DX56">
        <v>1626.3810000000001</v>
      </c>
      <c r="DY56" s="2">
        <v>7.5600000000000001E-2</v>
      </c>
      <c r="DZ56" s="2">
        <v>4.2960000000000005E-2</v>
      </c>
    </row>
    <row r="57" spans="1:130" x14ac:dyDescent="0.3">
      <c r="A57" t="s">
        <v>165</v>
      </c>
      <c r="B57">
        <v>2020</v>
      </c>
      <c r="C57" t="s">
        <v>168</v>
      </c>
      <c r="D57" s="1">
        <v>83328992</v>
      </c>
      <c r="E57" s="1">
        <v>3742720851968</v>
      </c>
      <c r="F57" s="1">
        <v>3742720.8519680002</v>
      </c>
      <c r="G57" s="2">
        <v>0.22111</v>
      </c>
      <c r="H57">
        <v>7.1109999999999998</v>
      </c>
      <c r="I57">
        <v>471.27699999999999</v>
      </c>
      <c r="J57">
        <v>39.271000000000001</v>
      </c>
      <c r="K57">
        <v>611</v>
      </c>
      <c r="L57">
        <v>50.93</v>
      </c>
      <c r="M57" s="2">
        <v>8.9860000000000009E-2</v>
      </c>
      <c r="N57" s="2">
        <v>1.1399999999999999E-2</v>
      </c>
      <c r="O57">
        <v>355.65899999999999</v>
      </c>
      <c r="P57" s="2">
        <v>-0.17518</v>
      </c>
      <c r="Q57">
        <v>-109.351</v>
      </c>
      <c r="R57">
        <v>6178.7209999999995</v>
      </c>
      <c r="S57">
        <v>514.86699999999996</v>
      </c>
      <c r="T57">
        <v>1615.2840000000001</v>
      </c>
      <c r="U57">
        <v>134.6</v>
      </c>
      <c r="V57" s="2">
        <v>-0.17724000000000001</v>
      </c>
      <c r="W57">
        <v>-58.582999999999998</v>
      </c>
      <c r="X57">
        <v>3263.5050000000001</v>
      </c>
      <c r="Y57">
        <v>271.94499999999999</v>
      </c>
      <c r="Z57" s="2">
        <v>0.23748999999999998</v>
      </c>
      <c r="AA57" s="2">
        <v>0.14949999999999999</v>
      </c>
      <c r="AB57">
        <v>547.72</v>
      </c>
      <c r="AC57">
        <v>566.75</v>
      </c>
      <c r="AD57" s="2">
        <v>0.19481000000000001</v>
      </c>
      <c r="AE57" s="2">
        <v>-6.7919999999999994E-2</v>
      </c>
      <c r="AF57">
        <v>-250.958</v>
      </c>
      <c r="AG57">
        <v>41328.737999999998</v>
      </c>
      <c r="AH57">
        <v>0.92</v>
      </c>
      <c r="AI57" s="2">
        <v>-9.0800000000000006E-2</v>
      </c>
      <c r="AJ57">
        <v>-255.066</v>
      </c>
      <c r="AK57">
        <v>3010.7170000000001</v>
      </c>
      <c r="AL57">
        <v>250.88</v>
      </c>
      <c r="AM57">
        <v>30651.35</v>
      </c>
      <c r="AN57">
        <v>2554.1460000000002</v>
      </c>
      <c r="AO57" s="2">
        <v>0.44266</v>
      </c>
      <c r="AP57" s="2">
        <v>0.74165000000000003</v>
      </c>
      <c r="AQ57" s="2">
        <v>-2.4369999999999999E-2</v>
      </c>
      <c r="AR57">
        <v>-21.754999999999999</v>
      </c>
      <c r="AS57">
        <v>871.07500000000005</v>
      </c>
      <c r="AT57">
        <v>1140</v>
      </c>
      <c r="AU57">
        <v>95</v>
      </c>
      <c r="AV57">
        <v>10453.444</v>
      </c>
      <c r="AW57" s="2">
        <v>-0.14976</v>
      </c>
      <c r="AX57">
        <v>-7.9829999999999997</v>
      </c>
      <c r="AY57">
        <v>543.91899999999998</v>
      </c>
      <c r="AZ57">
        <v>45.323999999999998</v>
      </c>
      <c r="BA57" s="2">
        <v>0.16761999999999999</v>
      </c>
      <c r="BB57" s="2">
        <v>0.25292999999999999</v>
      </c>
      <c r="BC57">
        <v>201.57</v>
      </c>
      <c r="BD57" s="2">
        <v>-7.1410000000000001E-2</v>
      </c>
      <c r="BE57">
        <v>-3.891</v>
      </c>
      <c r="BF57">
        <v>48.119</v>
      </c>
      <c r="BG57">
        <v>224.65199999999999</v>
      </c>
      <c r="BH57">
        <v>18.72</v>
      </c>
      <c r="BI57">
        <v>577.45699999999999</v>
      </c>
      <c r="BJ57" s="2">
        <v>3.3029999999999997E-2</v>
      </c>
      <c r="BK57" s="2">
        <v>1.397E-2</v>
      </c>
      <c r="BL57" s="2">
        <v>1.8180000000000002E-2</v>
      </c>
      <c r="BM57">
        <v>4.1079999999999997</v>
      </c>
      <c r="BN57">
        <v>889.73599999999999</v>
      </c>
      <c r="BO57">
        <v>3790.6370000000002</v>
      </c>
      <c r="BP57">
        <v>315.87</v>
      </c>
      <c r="BQ57">
        <v>10677.387000000001</v>
      </c>
      <c r="BR57" s="2">
        <v>0.55734000000000006</v>
      </c>
      <c r="BS57" s="2">
        <v>0.25835000000000002</v>
      </c>
      <c r="BT57">
        <v>-19.03</v>
      </c>
      <c r="BU57" s="2">
        <v>-3.474E-2</v>
      </c>
      <c r="BV57" s="2">
        <v>-0.14238000000000001</v>
      </c>
      <c r="BW57">
        <v>-27.635000000000002</v>
      </c>
      <c r="BX57">
        <v>162.255</v>
      </c>
      <c r="BY57">
        <v>773</v>
      </c>
      <c r="BZ57">
        <v>64</v>
      </c>
      <c r="CA57">
        <v>1947.1610000000001</v>
      </c>
      <c r="CB57" s="2">
        <v>0.11</v>
      </c>
      <c r="CC57" s="2">
        <v>4.7110000000000006E-2</v>
      </c>
      <c r="CD57" s="2">
        <v>-9.5930000000000001E-2</v>
      </c>
      <c r="CE57">
        <v>-123.959</v>
      </c>
      <c r="CF57">
        <v>1168.2049999999999</v>
      </c>
      <c r="CG57">
        <v>255.37299999999999</v>
      </c>
      <c r="CH57">
        <v>21.28</v>
      </c>
      <c r="CI57">
        <v>14019.186</v>
      </c>
      <c r="CN57" s="2">
        <v>3.755E-2</v>
      </c>
      <c r="CO57" s="2">
        <v>0.33921000000000001</v>
      </c>
      <c r="CP57">
        <v>163.16200000000001</v>
      </c>
      <c r="CQ57">
        <v>51.16</v>
      </c>
      <c r="CR57">
        <v>0.23</v>
      </c>
      <c r="CS57" s="2">
        <v>1.6650000000000002E-2</v>
      </c>
      <c r="CT57">
        <v>2.649</v>
      </c>
      <c r="CU57">
        <v>614</v>
      </c>
      <c r="CV57">
        <v>3</v>
      </c>
      <c r="CW57">
        <v>1958.048</v>
      </c>
      <c r="CX57" s="2">
        <v>9.0269999999999989E-2</v>
      </c>
      <c r="CY57" s="2">
        <v>4.0999999999999999E-4</v>
      </c>
      <c r="CZ57" s="2">
        <v>4.7380000000000005E-2</v>
      </c>
      <c r="DA57">
        <v>6801.3540000000003</v>
      </c>
      <c r="DB57">
        <v>3443.8820000000001</v>
      </c>
      <c r="DC57" s="2">
        <v>6.2279999999999995E-2</v>
      </c>
      <c r="DD57">
        <v>31.742999999999999</v>
      </c>
      <c r="DE57">
        <v>727.48099999999999</v>
      </c>
      <c r="DF57">
        <v>3018.0369999999998</v>
      </c>
      <c r="DG57">
        <v>251.49</v>
      </c>
      <c r="DH57">
        <v>8730.2260000000006</v>
      </c>
      <c r="DI57" s="2">
        <v>0.44374000000000002</v>
      </c>
      <c r="DJ57" s="2">
        <v>0.21123999999999998</v>
      </c>
      <c r="DK57" s="2">
        <v>9.4540000000000013E-2</v>
      </c>
      <c r="DL57">
        <v>10.789</v>
      </c>
      <c r="DM57">
        <v>129.99100000000001</v>
      </c>
      <c r="DN57">
        <v>594.03099999999995</v>
      </c>
      <c r="DO57">
        <v>49.5</v>
      </c>
      <c r="DP57">
        <v>1559.971</v>
      </c>
      <c r="DQ57" s="2">
        <v>8.7340000000000001E-2</v>
      </c>
      <c r="DR57" s="2">
        <v>3.7749999999999999E-2</v>
      </c>
      <c r="DS57" s="2">
        <v>4.931E-2</v>
      </c>
      <c r="DT57">
        <v>15.085000000000001</v>
      </c>
      <c r="DU57">
        <v>346.93799999999999</v>
      </c>
      <c r="DV57">
        <v>1585</v>
      </c>
      <c r="DW57">
        <v>132.11000000000001</v>
      </c>
      <c r="DX57">
        <v>4163.4740000000002</v>
      </c>
      <c r="DY57" s="2">
        <v>0.23309999999999997</v>
      </c>
      <c r="DZ57" s="2">
        <v>0.10074</v>
      </c>
    </row>
    <row r="58" spans="1:130" x14ac:dyDescent="0.3">
      <c r="A58" t="s">
        <v>166</v>
      </c>
      <c r="B58">
        <v>2021</v>
      </c>
      <c r="C58" t="s">
        <v>167</v>
      </c>
      <c r="D58" s="1">
        <v>64531448</v>
      </c>
      <c r="E58" s="1">
        <v>2604822691840</v>
      </c>
      <c r="F58" s="1">
        <v>2604822.69184</v>
      </c>
      <c r="G58" s="2">
        <v>0.13117000000000001</v>
      </c>
      <c r="H58">
        <v>4.04</v>
      </c>
      <c r="I58">
        <v>539.88800000000003</v>
      </c>
      <c r="J58">
        <v>34.840000000000003</v>
      </c>
      <c r="K58">
        <v>148</v>
      </c>
      <c r="L58">
        <v>9.57</v>
      </c>
      <c r="M58" s="2">
        <v>1.7399999999999999E-2</v>
      </c>
      <c r="N58" s="2">
        <v>1.3429999999999999E-2</v>
      </c>
      <c r="O58">
        <v>59.768999999999998</v>
      </c>
      <c r="P58" s="2">
        <v>0.34045999999999998</v>
      </c>
      <c r="Q58">
        <v>19.059999999999999</v>
      </c>
      <c r="R58">
        <v>1162.8810000000001</v>
      </c>
      <c r="S58">
        <v>75.042000000000002</v>
      </c>
      <c r="T58">
        <v>84.3</v>
      </c>
      <c r="U58">
        <v>5.44</v>
      </c>
      <c r="Z58" s="2">
        <v>9.8899999999999995E-3</v>
      </c>
      <c r="AA58" s="2">
        <v>2.8929999999999997E-2</v>
      </c>
      <c r="AB58">
        <v>505.23</v>
      </c>
      <c r="AC58">
        <v>550.12</v>
      </c>
      <c r="AD58" s="2">
        <v>0.30164000000000002</v>
      </c>
      <c r="AE58" s="2">
        <v>6.2449999999999999E-2</v>
      </c>
      <c r="AF58">
        <v>152.458</v>
      </c>
      <c r="AG58">
        <v>40191.641000000003</v>
      </c>
      <c r="AH58">
        <v>0.996</v>
      </c>
      <c r="AI58" s="2">
        <v>8.1809999999999994E-2</v>
      </c>
      <c r="AJ58">
        <v>97.370999999999995</v>
      </c>
      <c r="AK58">
        <v>756.06500000000005</v>
      </c>
      <c r="AL58">
        <v>48.79</v>
      </c>
      <c r="AM58">
        <v>19952.599999999999</v>
      </c>
      <c r="AN58">
        <v>1287.57</v>
      </c>
      <c r="AO58" s="2">
        <v>8.8689999999999991E-2</v>
      </c>
      <c r="AP58" s="2">
        <v>0.49643999999999999</v>
      </c>
      <c r="AQ58" s="2">
        <v>6.0579999999999995E-2</v>
      </c>
      <c r="AR58">
        <v>24.585999999999999</v>
      </c>
      <c r="AS58">
        <v>430.41399999999999</v>
      </c>
      <c r="AT58">
        <v>516</v>
      </c>
      <c r="AU58">
        <v>33.29</v>
      </c>
      <c r="AV58">
        <v>6669.8329999999996</v>
      </c>
      <c r="BA58" s="2">
        <v>6.0510000000000001E-2</v>
      </c>
      <c r="BB58" s="2">
        <v>0.16594999999999999</v>
      </c>
      <c r="BC58">
        <v>32.880000000000003</v>
      </c>
      <c r="BD58" s="2">
        <v>-4.9439999999999998E-2</v>
      </c>
      <c r="BE58">
        <v>-8.5760000000000005</v>
      </c>
      <c r="BF58">
        <v>153.476</v>
      </c>
      <c r="BG58">
        <v>923.89099999999996</v>
      </c>
      <c r="BH58">
        <v>59.62</v>
      </c>
      <c r="BI58">
        <v>2378.3159999999998</v>
      </c>
      <c r="BJ58" s="2">
        <v>0.10837999999999999</v>
      </c>
      <c r="BK58" s="2">
        <v>5.917E-2</v>
      </c>
      <c r="BL58" s="2">
        <v>5.151E-2</v>
      </c>
      <c r="BM58">
        <v>55.088000000000001</v>
      </c>
      <c r="BN58">
        <v>1306.0550000000001</v>
      </c>
      <c r="BO58">
        <v>7768.77</v>
      </c>
      <c r="BP58">
        <v>501.33</v>
      </c>
      <c r="BQ58">
        <v>20239.043000000001</v>
      </c>
      <c r="BR58" s="2">
        <v>0.91130999999999995</v>
      </c>
      <c r="BS58" s="2">
        <v>0.50356000000000001</v>
      </c>
      <c r="BT58">
        <v>-44.89</v>
      </c>
      <c r="BU58" s="2">
        <v>-8.8849999999999998E-2</v>
      </c>
      <c r="BV58" s="2">
        <v>7.2149999999999992E-2</v>
      </c>
      <c r="BW58">
        <v>60.837000000000003</v>
      </c>
      <c r="BX58">
        <v>952.55799999999999</v>
      </c>
      <c r="BY58">
        <v>5879</v>
      </c>
      <c r="BZ58">
        <v>379</v>
      </c>
      <c r="CA58">
        <v>14761.147000000001</v>
      </c>
      <c r="CB58" s="2">
        <v>0.69</v>
      </c>
      <c r="CC58" s="2">
        <v>0.36726999999999999</v>
      </c>
      <c r="CD58" s="2">
        <v>7.3760000000000006E-2</v>
      </c>
      <c r="CE58">
        <v>53.725000000000001</v>
      </c>
      <c r="CF58">
        <v>782.11400000000003</v>
      </c>
      <c r="CG58">
        <v>155.893</v>
      </c>
      <c r="CH58">
        <v>10.06</v>
      </c>
      <c r="CI58">
        <v>12119.887000000001</v>
      </c>
      <c r="CN58" s="2">
        <v>1.8290000000000001E-2</v>
      </c>
      <c r="CO58" s="2">
        <v>0.30154999999999998</v>
      </c>
      <c r="CP58">
        <v>29.48</v>
      </c>
      <c r="CQ58">
        <v>10.15</v>
      </c>
      <c r="CR58">
        <v>0.57999999999999996</v>
      </c>
      <c r="CS58" s="2">
        <v>4.8129999999999999E-2</v>
      </c>
      <c r="CT58">
        <v>1.3520000000000001</v>
      </c>
      <c r="CU58">
        <v>157</v>
      </c>
      <c r="CV58">
        <v>9</v>
      </c>
      <c r="CW58">
        <v>456.839</v>
      </c>
      <c r="CX58" s="2">
        <v>1.8450000000000001E-2</v>
      </c>
      <c r="CY58" s="2">
        <v>1.0499999999999999E-3</v>
      </c>
      <c r="CZ58" s="2">
        <v>1.137E-2</v>
      </c>
      <c r="DA58">
        <v>8524.8359999999993</v>
      </c>
      <c r="DB58">
        <v>2593.625</v>
      </c>
      <c r="DC58" s="2">
        <v>4.0699999999999998E-3</v>
      </c>
      <c r="DD58">
        <v>-5.7489999999999997</v>
      </c>
      <c r="DE58">
        <v>353.49599999999998</v>
      </c>
      <c r="DF58">
        <v>1890.086</v>
      </c>
      <c r="DG58">
        <v>121.97</v>
      </c>
      <c r="DH58">
        <v>5477.8950000000004</v>
      </c>
      <c r="DI58" s="2">
        <v>0.22172</v>
      </c>
      <c r="DJ58" s="2">
        <v>0.13628999999999999</v>
      </c>
      <c r="DK58" s="2">
        <v>0.17021</v>
      </c>
      <c r="DL58">
        <v>5.5410000000000004</v>
      </c>
      <c r="DM58">
        <v>38.938000000000002</v>
      </c>
      <c r="DN58">
        <v>238.178</v>
      </c>
      <c r="DO58">
        <v>15.37</v>
      </c>
      <c r="DP58">
        <v>603.39099999999996</v>
      </c>
      <c r="DQ58" s="2">
        <v>2.794E-2</v>
      </c>
      <c r="DR58" s="2">
        <v>1.5009999999999999E-2</v>
      </c>
      <c r="DS58" s="2">
        <v>-7.3910000000000003E-2</v>
      </c>
      <c r="DT58">
        <v>-8.1069999999999993</v>
      </c>
      <c r="DU58">
        <v>96.762</v>
      </c>
      <c r="DV58">
        <v>571</v>
      </c>
      <c r="DW58">
        <v>36.83</v>
      </c>
      <c r="DX58">
        <v>1499.461</v>
      </c>
      <c r="DY58" s="2">
        <v>6.695000000000001E-2</v>
      </c>
      <c r="DZ58" s="2">
        <v>3.7309999999999996E-2</v>
      </c>
    </row>
    <row r="59" spans="1:130" x14ac:dyDescent="0.3">
      <c r="A59" t="s">
        <v>165</v>
      </c>
      <c r="B59">
        <v>2021</v>
      </c>
      <c r="C59" t="s">
        <v>168</v>
      </c>
      <c r="D59" s="1">
        <v>83408560</v>
      </c>
      <c r="E59" s="1">
        <v>3841041629184</v>
      </c>
      <c r="F59" s="1">
        <v>3841041.6291840002</v>
      </c>
      <c r="G59" s="2">
        <v>-0.1116</v>
      </c>
      <c r="H59">
        <v>-4.383</v>
      </c>
      <c r="I59">
        <v>418.28100000000001</v>
      </c>
      <c r="J59">
        <v>34.887999999999998</v>
      </c>
      <c r="K59">
        <v>589</v>
      </c>
      <c r="L59">
        <v>49.1</v>
      </c>
      <c r="M59" s="2">
        <v>8.4760000000000002E-2</v>
      </c>
      <c r="N59" s="2">
        <v>9.8399999999999998E-3</v>
      </c>
      <c r="O59">
        <v>394.53800000000001</v>
      </c>
      <c r="P59" s="2">
        <v>0.20795000000000002</v>
      </c>
      <c r="Q59">
        <v>107.068</v>
      </c>
      <c r="R59">
        <v>7456.4830000000002</v>
      </c>
      <c r="S59">
        <v>621.93499999999995</v>
      </c>
      <c r="T59">
        <v>1974.018</v>
      </c>
      <c r="U59">
        <v>164.65</v>
      </c>
      <c r="V59" s="2">
        <v>0.17794000000000001</v>
      </c>
      <c r="W59">
        <v>48.389000000000003</v>
      </c>
      <c r="X59">
        <v>3840.5329999999999</v>
      </c>
      <c r="Y59">
        <v>320.33300000000003</v>
      </c>
      <c r="Z59" s="2">
        <v>0.28422000000000003</v>
      </c>
      <c r="AA59" s="2">
        <v>0.17546</v>
      </c>
      <c r="AB59">
        <v>560.73</v>
      </c>
      <c r="AC59">
        <v>579.30999999999995</v>
      </c>
      <c r="AD59" s="2">
        <v>0.19105</v>
      </c>
      <c r="AE59" s="2">
        <v>2.9239999999999999E-2</v>
      </c>
      <c r="AF59">
        <v>100.699</v>
      </c>
      <c r="AG59">
        <v>42496.608999999997</v>
      </c>
      <c r="AH59">
        <v>0.92300000000000004</v>
      </c>
      <c r="AI59" s="2">
        <v>5.5210000000000002E-2</v>
      </c>
      <c r="AJ59">
        <v>141.00899999999999</v>
      </c>
      <c r="AK59">
        <v>3323.28</v>
      </c>
      <c r="AL59">
        <v>277.19</v>
      </c>
      <c r="AM59">
        <v>32312.692999999999</v>
      </c>
      <c r="AN59">
        <v>2695.1550000000002</v>
      </c>
      <c r="AO59" s="2">
        <v>0.47848000000000002</v>
      </c>
      <c r="AP59" s="2">
        <v>0.76036000000000004</v>
      </c>
      <c r="AQ59" s="2">
        <v>5.3159999999999999E-2</v>
      </c>
      <c r="AR59">
        <v>46.305</v>
      </c>
      <c r="AS59">
        <v>917.38</v>
      </c>
      <c r="AT59">
        <v>1083</v>
      </c>
      <c r="AU59">
        <v>90.3</v>
      </c>
      <c r="AV59">
        <v>10998.635</v>
      </c>
      <c r="AW59" s="2">
        <v>9.7000000000000005E-4</v>
      </c>
      <c r="AX59">
        <v>4.3999999999999997E-2</v>
      </c>
      <c r="AY59">
        <v>543.92700000000002</v>
      </c>
      <c r="AZ59">
        <v>45.368000000000002</v>
      </c>
      <c r="BA59" s="2">
        <v>0.15587999999999999</v>
      </c>
      <c r="BB59" s="2">
        <v>0.25880999999999998</v>
      </c>
      <c r="BC59">
        <v>228.56</v>
      </c>
      <c r="BD59" s="2">
        <v>7.2889999999999996E-2</v>
      </c>
      <c r="BE59">
        <v>3.3180000000000001</v>
      </c>
      <c r="BF59">
        <v>51.436999999999998</v>
      </c>
      <c r="BG59">
        <v>235.70699999999999</v>
      </c>
      <c r="BH59">
        <v>19.66</v>
      </c>
      <c r="BI59">
        <v>616.68899999999996</v>
      </c>
      <c r="BJ59" s="2">
        <v>3.3939999999999998E-2</v>
      </c>
      <c r="BK59" s="2">
        <v>1.451E-2</v>
      </c>
      <c r="BL59" s="2">
        <v>-4.7270000000000006E-2</v>
      </c>
      <c r="BM59">
        <v>-40.31</v>
      </c>
      <c r="BN59">
        <v>849.42600000000004</v>
      </c>
      <c r="BO59">
        <v>3622.17</v>
      </c>
      <c r="BP59">
        <v>302.12</v>
      </c>
      <c r="BQ59">
        <v>10183.914000000001</v>
      </c>
      <c r="BR59" s="2">
        <v>0.52151999999999998</v>
      </c>
      <c r="BS59" s="2">
        <v>0.23963999999999999</v>
      </c>
      <c r="BT59">
        <v>-18.579999999999998</v>
      </c>
      <c r="BU59" s="2">
        <v>-3.3140000000000003E-2</v>
      </c>
      <c r="BV59" s="2">
        <v>7.3749999999999996E-2</v>
      </c>
      <c r="BW59">
        <v>11.327999999999999</v>
      </c>
      <c r="BX59">
        <v>173.583</v>
      </c>
      <c r="BY59">
        <v>829</v>
      </c>
      <c r="BZ59">
        <v>69</v>
      </c>
      <c r="CA59">
        <v>2081.1210000000001</v>
      </c>
      <c r="CB59" s="2">
        <v>0.12</v>
      </c>
      <c r="CC59" s="2">
        <v>4.897E-2</v>
      </c>
      <c r="CD59" s="2">
        <v>-1.0580000000000001E-2</v>
      </c>
      <c r="CE59">
        <v>-12.364000000000001</v>
      </c>
      <c r="CF59">
        <v>1155.8409999999999</v>
      </c>
      <c r="CG59">
        <v>266.63900000000001</v>
      </c>
      <c r="CH59">
        <v>22.24</v>
      </c>
      <c r="CI59">
        <v>13857.579</v>
      </c>
      <c r="CN59" s="2">
        <v>3.8390000000000001E-2</v>
      </c>
      <c r="CO59" s="2">
        <v>0.32608999999999999</v>
      </c>
      <c r="CP59">
        <v>160.416</v>
      </c>
      <c r="CQ59">
        <v>49.34</v>
      </c>
      <c r="CR59">
        <v>0.24</v>
      </c>
      <c r="CS59" s="2">
        <v>-1.6750000000000001E-2</v>
      </c>
      <c r="CT59">
        <v>-2.746</v>
      </c>
      <c r="CU59">
        <v>592</v>
      </c>
      <c r="CV59">
        <v>3</v>
      </c>
      <c r="CW59">
        <v>1923.2560000000001</v>
      </c>
      <c r="CX59" s="2">
        <v>8.5169999999999996E-2</v>
      </c>
      <c r="CY59" s="2">
        <v>4.0999999999999999E-4</v>
      </c>
      <c r="CZ59" s="2">
        <v>4.5259999999999995E-2</v>
      </c>
      <c r="DA59">
        <v>6945.45</v>
      </c>
      <c r="DB59">
        <v>3544.5810000000001</v>
      </c>
      <c r="DC59" s="2">
        <v>-7.4099999999999999E-2</v>
      </c>
      <c r="DD59">
        <v>-51.639000000000003</v>
      </c>
      <c r="DE59">
        <v>675.84199999999998</v>
      </c>
      <c r="DF59">
        <v>2793.3580000000002</v>
      </c>
      <c r="DG59">
        <v>232.99</v>
      </c>
      <c r="DH59">
        <v>8102.7929999999997</v>
      </c>
      <c r="DI59" s="2">
        <v>0.40218999999999999</v>
      </c>
      <c r="DJ59" s="2">
        <v>0.19067000000000001</v>
      </c>
      <c r="DK59" s="2">
        <v>-3.15E-3</v>
      </c>
      <c r="DL59">
        <v>-0.88400000000000001</v>
      </c>
      <c r="DM59">
        <v>129.107</v>
      </c>
      <c r="DN59">
        <v>591.54600000000005</v>
      </c>
      <c r="DO59">
        <v>49.34</v>
      </c>
      <c r="DP59">
        <v>1547.885</v>
      </c>
      <c r="DQ59" s="2">
        <v>8.5169999999999996E-2</v>
      </c>
      <c r="DR59" s="2">
        <v>3.6420000000000001E-2</v>
      </c>
      <c r="DS59" s="2">
        <v>-0.13213</v>
      </c>
      <c r="DT59">
        <v>-46.944000000000003</v>
      </c>
      <c r="DU59">
        <v>299.99400000000003</v>
      </c>
      <c r="DV59">
        <v>1375</v>
      </c>
      <c r="DW59">
        <v>114.65</v>
      </c>
      <c r="DX59">
        <v>3596.683</v>
      </c>
      <c r="DY59" s="2">
        <v>0.19791</v>
      </c>
      <c r="DZ59" s="2">
        <v>8.4629999999999997E-2</v>
      </c>
    </row>
    <row r="60" spans="1:130" x14ac:dyDescent="0.3">
      <c r="A60" t="s">
        <v>166</v>
      </c>
      <c r="B60">
        <v>2022</v>
      </c>
      <c r="C60" t="s">
        <v>167</v>
      </c>
      <c r="D60" s="1">
        <v>64626624</v>
      </c>
      <c r="E60" s="1">
        <v>2671568748544</v>
      </c>
      <c r="F60" s="1">
        <v>2671568.7485440001</v>
      </c>
      <c r="G60" s="2">
        <v>0.15343999999999999</v>
      </c>
      <c r="H60">
        <v>5.3460000000000001</v>
      </c>
      <c r="I60">
        <v>621.81100000000004</v>
      </c>
      <c r="J60">
        <v>40.186</v>
      </c>
      <c r="K60">
        <v>151</v>
      </c>
      <c r="L60">
        <v>9.7799999999999994</v>
      </c>
      <c r="M60" s="2">
        <v>2.0840000000000001E-2</v>
      </c>
      <c r="N60" s="2">
        <v>1.7479999999999999E-2</v>
      </c>
      <c r="O60">
        <v>78.811000000000007</v>
      </c>
      <c r="P60" s="2">
        <v>-0.14157</v>
      </c>
      <c r="Q60">
        <v>-10.624000000000001</v>
      </c>
      <c r="R60">
        <v>996.78399999999999</v>
      </c>
      <c r="S60">
        <v>64.418999999999997</v>
      </c>
      <c r="T60">
        <v>67</v>
      </c>
      <c r="U60">
        <v>4.33</v>
      </c>
      <c r="Z60" s="2">
        <v>9.2300000000000004E-3</v>
      </c>
      <c r="AA60" s="2">
        <v>2.8029999999999999E-2</v>
      </c>
      <c r="AB60">
        <v>484.29</v>
      </c>
      <c r="AC60">
        <v>469.35</v>
      </c>
      <c r="AD60" s="2">
        <v>0.28023999999999999</v>
      </c>
      <c r="AE60" s="2">
        <v>-0.11377000000000001</v>
      </c>
      <c r="AF60">
        <v>-295.065</v>
      </c>
      <c r="AG60">
        <v>35566.758000000002</v>
      </c>
      <c r="AH60">
        <v>0.86</v>
      </c>
      <c r="AI60" s="2">
        <v>-4.7969999999999999E-2</v>
      </c>
      <c r="AJ60">
        <v>-61.765000000000001</v>
      </c>
      <c r="AK60">
        <v>936.45600000000002</v>
      </c>
      <c r="AL60">
        <v>60.52</v>
      </c>
      <c r="AM60">
        <v>18967.490000000002</v>
      </c>
      <c r="AN60">
        <v>1225.8050000000001</v>
      </c>
      <c r="AO60" s="2">
        <v>0.12894</v>
      </c>
      <c r="AP60" s="2">
        <v>0.53329000000000004</v>
      </c>
      <c r="AQ60" s="2">
        <v>-0.10849</v>
      </c>
      <c r="AR60">
        <v>-46.695999999999998</v>
      </c>
      <c r="AS60">
        <v>383.71800000000002</v>
      </c>
      <c r="AT60">
        <v>708</v>
      </c>
      <c r="AU60">
        <v>45.74</v>
      </c>
      <c r="AV60">
        <v>5937.4549999999999</v>
      </c>
      <c r="BA60" s="2">
        <v>9.7449999999999995E-2</v>
      </c>
      <c r="BB60" s="2">
        <v>0.16693999999999998</v>
      </c>
      <c r="BC60">
        <v>36.99</v>
      </c>
      <c r="BD60" s="2">
        <v>-0.24521999999999999</v>
      </c>
      <c r="BE60">
        <v>-38.058</v>
      </c>
      <c r="BF60">
        <v>115.41800000000001</v>
      </c>
      <c r="BG60">
        <v>704.35400000000004</v>
      </c>
      <c r="BH60">
        <v>45.52</v>
      </c>
      <c r="BI60">
        <v>1785.925</v>
      </c>
      <c r="BJ60" s="2">
        <v>9.6989999999999993E-2</v>
      </c>
      <c r="BK60" s="2">
        <v>5.0209999999999998E-2</v>
      </c>
      <c r="BL60" s="2">
        <v>-0.16478000000000001</v>
      </c>
      <c r="BM60">
        <v>-233.3</v>
      </c>
      <c r="BN60">
        <v>1072.7550000000001</v>
      </c>
      <c r="BO60">
        <v>6326.03</v>
      </c>
      <c r="BP60">
        <v>408.83</v>
      </c>
      <c r="BQ60">
        <v>16599.271000000001</v>
      </c>
      <c r="BR60" s="2">
        <v>0.87105999999999995</v>
      </c>
      <c r="BS60" s="2">
        <v>0.46671000000000001</v>
      </c>
      <c r="BT60">
        <v>14.94</v>
      </c>
      <c r="BU60" s="2">
        <v>3.0849999999999999E-2</v>
      </c>
      <c r="BV60" s="2">
        <v>-0.22309000000000001</v>
      </c>
      <c r="BW60">
        <v>-215.20099999999999</v>
      </c>
      <c r="BX60">
        <v>737.35699999999997</v>
      </c>
      <c r="BY60">
        <v>4561</v>
      </c>
      <c r="BZ60">
        <v>295</v>
      </c>
      <c r="CA60">
        <v>11409.492</v>
      </c>
      <c r="CB60" s="2">
        <v>0.63</v>
      </c>
      <c r="CC60" s="2">
        <v>0.32079000000000002</v>
      </c>
      <c r="CD60" s="2">
        <v>-5.6799999999999993E-3</v>
      </c>
      <c r="CE60">
        <v>-4.4459999999999997</v>
      </c>
      <c r="CF60">
        <v>777.66800000000001</v>
      </c>
      <c r="CG60">
        <v>161.69800000000001</v>
      </c>
      <c r="CH60">
        <v>10.45</v>
      </c>
      <c r="CI60">
        <v>12033.249</v>
      </c>
      <c r="CN60" s="2">
        <v>2.2259999999999999E-2</v>
      </c>
      <c r="CO60" s="2">
        <v>0.33832999999999996</v>
      </c>
      <c r="CP60">
        <v>31.067</v>
      </c>
      <c r="CQ60">
        <v>10.38</v>
      </c>
      <c r="CR60">
        <v>0.6</v>
      </c>
      <c r="CS60" s="2">
        <v>5.3789999999999998E-2</v>
      </c>
      <c r="CT60">
        <v>1.5860000000000001</v>
      </c>
      <c r="CU60">
        <v>161</v>
      </c>
      <c r="CV60">
        <v>9</v>
      </c>
      <c r="CW60">
        <v>480.71</v>
      </c>
      <c r="CX60" s="2">
        <v>2.2120000000000001E-2</v>
      </c>
      <c r="CY60" s="2">
        <v>1.2800000000000001E-3</v>
      </c>
      <c r="CZ60" s="2">
        <v>1.3520000000000001E-2</v>
      </c>
      <c r="DA60">
        <v>7262.4870000000001</v>
      </c>
      <c r="DB60">
        <v>2298.56</v>
      </c>
      <c r="DC60" s="2">
        <v>-2.1690000000000001E-2</v>
      </c>
      <c r="DD60">
        <v>-18.099</v>
      </c>
      <c r="DE60">
        <v>335.39800000000002</v>
      </c>
      <c r="DF60">
        <v>1765.5260000000001</v>
      </c>
      <c r="DG60">
        <v>114.1</v>
      </c>
      <c r="DH60">
        <v>5189.78</v>
      </c>
      <c r="DI60" s="2">
        <v>0.24309999999999998</v>
      </c>
      <c r="DJ60" s="2">
        <v>0.14591999999999999</v>
      </c>
      <c r="DK60" s="2">
        <v>0.28650999999999999</v>
      </c>
      <c r="DL60">
        <v>10.973000000000001</v>
      </c>
      <c r="DM60">
        <v>49.911000000000001</v>
      </c>
      <c r="DN60">
        <v>303.89999999999998</v>
      </c>
      <c r="DO60">
        <v>19.64</v>
      </c>
      <c r="DP60">
        <v>772.29899999999998</v>
      </c>
      <c r="DQ60" s="2">
        <v>4.1849999999999998E-2</v>
      </c>
      <c r="DR60" s="2">
        <v>2.1709999999999997E-2</v>
      </c>
      <c r="DS60" s="2">
        <v>2.4969999999999999E-2</v>
      </c>
      <c r="DT60">
        <v>2.0539999999999998</v>
      </c>
      <c r="DU60">
        <v>98.816000000000003</v>
      </c>
      <c r="DV60">
        <v>597</v>
      </c>
      <c r="DW60">
        <v>38.56</v>
      </c>
      <c r="DX60">
        <v>1529.0350000000001</v>
      </c>
      <c r="DY60" s="2">
        <v>8.2159999999999997E-2</v>
      </c>
      <c r="DZ60" s="2">
        <v>4.299E-2</v>
      </c>
    </row>
    <row r="61" spans="1:130" x14ac:dyDescent="0.3">
      <c r="A61" t="s">
        <v>165</v>
      </c>
      <c r="B61">
        <v>2022</v>
      </c>
      <c r="C61" t="s">
        <v>168</v>
      </c>
      <c r="D61" s="1">
        <v>83369840</v>
      </c>
      <c r="E61" s="1">
        <v>3909612732416</v>
      </c>
      <c r="F61" s="1">
        <v>3909612.7324160002</v>
      </c>
      <c r="G61" s="2">
        <v>1.5199999999999999E-3</v>
      </c>
      <c r="H61">
        <v>5.2999999999999999E-2</v>
      </c>
      <c r="I61">
        <v>419.10899999999998</v>
      </c>
      <c r="J61">
        <v>34.941000000000003</v>
      </c>
      <c r="K61">
        <v>577</v>
      </c>
      <c r="L61">
        <v>48.14</v>
      </c>
      <c r="M61" s="2">
        <v>8.4830000000000003E-2</v>
      </c>
      <c r="N61" s="2">
        <v>1.0240000000000001E-2</v>
      </c>
      <c r="O61">
        <v>420.05700000000002</v>
      </c>
      <c r="P61" s="2">
        <v>3.1879999999999999E-2</v>
      </c>
      <c r="Q61">
        <v>19.826000000000001</v>
      </c>
      <c r="R61">
        <v>7697.7510000000002</v>
      </c>
      <c r="S61">
        <v>641.76</v>
      </c>
      <c r="T61">
        <v>2158.8139999999999</v>
      </c>
      <c r="U61">
        <v>179.98</v>
      </c>
      <c r="V61" s="2">
        <v>3.4369999999999998E-2</v>
      </c>
      <c r="W61">
        <v>11.010999999999999</v>
      </c>
      <c r="X61">
        <v>3974.3870000000002</v>
      </c>
      <c r="Y61">
        <v>331.34399999999999</v>
      </c>
      <c r="Z61" s="2">
        <v>0.31716</v>
      </c>
      <c r="AA61" s="2">
        <v>0.18803</v>
      </c>
      <c r="AB61">
        <v>540.21</v>
      </c>
      <c r="AC61">
        <v>567.47</v>
      </c>
      <c r="AD61" s="2">
        <v>0.19446000000000002</v>
      </c>
      <c r="AE61" s="2">
        <v>-3.712E-2</v>
      </c>
      <c r="AF61">
        <v>-131.58099999999999</v>
      </c>
      <c r="AG61">
        <v>40938.07</v>
      </c>
      <c r="AH61">
        <v>0.873</v>
      </c>
      <c r="AI61" s="2">
        <v>-3.6379999999999996E-2</v>
      </c>
      <c r="AJ61">
        <v>-98.054000000000002</v>
      </c>
      <c r="AK61">
        <v>3374.482</v>
      </c>
      <c r="AL61">
        <v>281.33</v>
      </c>
      <c r="AM61">
        <v>31151.562000000002</v>
      </c>
      <c r="AN61">
        <v>2597.1010000000001</v>
      </c>
      <c r="AO61" s="2">
        <v>0.49575999999999998</v>
      </c>
      <c r="AP61" s="2">
        <v>0.76093999999999995</v>
      </c>
      <c r="AQ61" s="2">
        <v>-0.15472</v>
      </c>
      <c r="AR61">
        <v>-141.93299999999999</v>
      </c>
      <c r="AS61">
        <v>775.447</v>
      </c>
      <c r="AT61">
        <v>957</v>
      </c>
      <c r="AU61">
        <v>79.8</v>
      </c>
      <c r="AV61">
        <v>9301.2919999999995</v>
      </c>
      <c r="AW61" s="2">
        <v>-6.1620000000000001E-2</v>
      </c>
      <c r="AX61">
        <v>-2.7949999999999999</v>
      </c>
      <c r="AY61">
        <v>510.649</v>
      </c>
      <c r="AZ61">
        <v>42.573</v>
      </c>
      <c r="BA61" s="2">
        <v>0.14061999999999999</v>
      </c>
      <c r="BB61" s="2">
        <v>0.22719999999999999</v>
      </c>
      <c r="BC61">
        <v>238.37</v>
      </c>
      <c r="BD61" s="2">
        <v>-0.10342999999999999</v>
      </c>
      <c r="BE61">
        <v>-5.4889999999999999</v>
      </c>
      <c r="BF61">
        <v>45.948999999999998</v>
      </c>
      <c r="BG61">
        <v>211.46700000000001</v>
      </c>
      <c r="BH61">
        <v>17.63</v>
      </c>
      <c r="BI61">
        <v>551.14200000000005</v>
      </c>
      <c r="BJ61" s="2">
        <v>3.107E-2</v>
      </c>
      <c r="BK61" s="2">
        <v>1.3460000000000001E-2</v>
      </c>
      <c r="BL61" s="2">
        <v>-4.045E-2</v>
      </c>
      <c r="BM61">
        <v>-33.526000000000003</v>
      </c>
      <c r="BN61">
        <v>815.899</v>
      </c>
      <c r="BO61">
        <v>3432.1770000000001</v>
      </c>
      <c r="BP61">
        <v>286.14</v>
      </c>
      <c r="BQ61">
        <v>9786.5059999999994</v>
      </c>
      <c r="BR61" s="2">
        <v>0.50424000000000002</v>
      </c>
      <c r="BS61" s="2">
        <v>0.23905999999999999</v>
      </c>
      <c r="BT61">
        <v>-27.26</v>
      </c>
      <c r="BU61" s="2">
        <v>-5.0460000000000005E-2</v>
      </c>
      <c r="BV61" s="2">
        <v>-0.49792000000000003</v>
      </c>
      <c r="BW61">
        <v>-86.748000000000005</v>
      </c>
      <c r="BX61">
        <v>86.834999999999994</v>
      </c>
      <c r="BY61">
        <v>416</v>
      </c>
      <c r="BZ61">
        <v>35</v>
      </c>
      <c r="CA61">
        <v>1041.57</v>
      </c>
      <c r="CB61" s="2">
        <v>0.06</v>
      </c>
      <c r="CC61" s="2">
        <v>2.5440000000000001E-2</v>
      </c>
      <c r="CD61" s="2">
        <v>2.0809999999999999E-2</v>
      </c>
      <c r="CE61">
        <v>24.053000000000001</v>
      </c>
      <c r="CF61">
        <v>1179.893</v>
      </c>
      <c r="CG61">
        <v>258.48700000000002</v>
      </c>
      <c r="CH61">
        <v>21.55</v>
      </c>
      <c r="CI61">
        <v>14152.52</v>
      </c>
      <c r="CN61" s="2">
        <v>3.798E-2</v>
      </c>
      <c r="CO61" s="2">
        <v>0.34570999999999996</v>
      </c>
      <c r="CP61">
        <v>165.541</v>
      </c>
      <c r="CQ61">
        <v>48.35</v>
      </c>
      <c r="CR61">
        <v>0.21</v>
      </c>
      <c r="CS61" s="2">
        <v>3.177E-2</v>
      </c>
      <c r="CT61">
        <v>5.125</v>
      </c>
      <c r="CU61">
        <v>580</v>
      </c>
      <c r="CV61">
        <v>3</v>
      </c>
      <c r="CW61">
        <v>1985.6279999999999</v>
      </c>
      <c r="CX61" s="2">
        <v>8.5199999999999998E-2</v>
      </c>
      <c r="CY61" s="2">
        <v>3.6999999999999999E-4</v>
      </c>
      <c r="CZ61" s="2">
        <v>4.8499999999999995E-2</v>
      </c>
      <c r="DA61">
        <v>6806.6580000000004</v>
      </c>
      <c r="DB61">
        <v>3413</v>
      </c>
      <c r="DC61" s="2">
        <v>7.7190000000000009E-2</v>
      </c>
      <c r="DD61">
        <v>53.222000000000001</v>
      </c>
      <c r="DE61">
        <v>729.06399999999996</v>
      </c>
      <c r="DF61">
        <v>3015.8389999999999</v>
      </c>
      <c r="DG61">
        <v>251.43</v>
      </c>
      <c r="DH61">
        <v>8744.9359999999997</v>
      </c>
      <c r="DI61" s="2">
        <v>0.44307000000000002</v>
      </c>
      <c r="DJ61" s="2">
        <v>0.21360999999999999</v>
      </c>
      <c r="DK61" s="2">
        <v>0.22220999999999999</v>
      </c>
      <c r="DL61">
        <v>28.114000000000001</v>
      </c>
      <c r="DM61">
        <v>157.221</v>
      </c>
      <c r="DN61">
        <v>729.16099999999994</v>
      </c>
      <c r="DO61">
        <v>60.79</v>
      </c>
      <c r="DP61">
        <v>1885.8219999999999</v>
      </c>
      <c r="DQ61" s="2">
        <v>0.10711999999999999</v>
      </c>
      <c r="DR61" s="2">
        <v>4.607E-2</v>
      </c>
      <c r="DS61" s="2">
        <v>8.8699999999999987E-2</v>
      </c>
      <c r="DT61">
        <v>25.417999999999999</v>
      </c>
      <c r="DU61">
        <v>325.41199999999998</v>
      </c>
      <c r="DV61">
        <v>1495</v>
      </c>
      <c r="DW61">
        <v>124.66</v>
      </c>
      <c r="DX61">
        <v>3903.2350000000001</v>
      </c>
      <c r="DY61" s="2">
        <v>0.21967999999999999</v>
      </c>
      <c r="DZ61" s="2">
        <v>9.5340000000000008E-2</v>
      </c>
    </row>
    <row r="62" spans="1:130" x14ac:dyDescent="0.3">
      <c r="A62" t="s">
        <v>166</v>
      </c>
      <c r="B62">
        <v>2023</v>
      </c>
      <c r="C62" t="s">
        <v>167</v>
      </c>
      <c r="D62" s="1">
        <v>64756584</v>
      </c>
      <c r="G62" s="2">
        <v>-3.4409999999999996E-2</v>
      </c>
      <c r="H62">
        <v>-1.383</v>
      </c>
      <c r="I62">
        <v>599.20899999999995</v>
      </c>
      <c r="J62">
        <v>38.802999999999997</v>
      </c>
      <c r="K62">
        <v>147</v>
      </c>
      <c r="L62">
        <v>9.5</v>
      </c>
      <c r="M62" s="2">
        <v>1.848E-2</v>
      </c>
      <c r="N62" s="2">
        <v>1.6120000000000002E-2</v>
      </c>
      <c r="O62">
        <v>56.039000000000001</v>
      </c>
      <c r="P62" s="2">
        <v>-0.23341000000000001</v>
      </c>
      <c r="Q62">
        <v>-15.036</v>
      </c>
      <c r="R62">
        <v>762.58699999999999</v>
      </c>
      <c r="S62">
        <v>49.383000000000003</v>
      </c>
      <c r="T62">
        <v>33.356000000000002</v>
      </c>
      <c r="U62">
        <v>2.16</v>
      </c>
      <c r="Z62" s="2">
        <v>4.1999999999999997E-3</v>
      </c>
      <c r="AA62" s="2">
        <v>2.052E-2</v>
      </c>
      <c r="AB62">
        <v>464.18</v>
      </c>
      <c r="AC62">
        <v>514.11</v>
      </c>
      <c r="AD62" s="2">
        <v>0.30868000000000001</v>
      </c>
      <c r="AE62" s="2">
        <v>4.7019999999999999E-2</v>
      </c>
      <c r="AF62">
        <v>108.07299999999999</v>
      </c>
      <c r="AG62">
        <v>37164.296999999999</v>
      </c>
      <c r="AI62" s="2">
        <v>-5.7020000000000001E-2</v>
      </c>
      <c r="AJ62">
        <v>-69.899000000000001</v>
      </c>
      <c r="AK62">
        <v>668.65800000000002</v>
      </c>
      <c r="AL62">
        <v>43.3</v>
      </c>
      <c r="AM62">
        <v>17850.02</v>
      </c>
      <c r="AN62">
        <v>1155.9059999999999</v>
      </c>
      <c r="AO62" s="2">
        <v>8.4220000000000003E-2</v>
      </c>
      <c r="AP62" s="2">
        <v>0.4803</v>
      </c>
      <c r="AQ62" s="2">
        <v>-0.11747</v>
      </c>
      <c r="AR62">
        <v>-45.076000000000001</v>
      </c>
      <c r="AS62">
        <v>338.642</v>
      </c>
      <c r="AT62">
        <v>485</v>
      </c>
      <c r="AU62">
        <v>31.43</v>
      </c>
      <c r="AV62">
        <v>5229.4549999999999</v>
      </c>
      <c r="BA62" s="2">
        <v>6.1130000000000004E-2</v>
      </c>
      <c r="BB62" s="2">
        <v>0.14071</v>
      </c>
      <c r="BC62">
        <v>28.81</v>
      </c>
      <c r="BD62" s="2">
        <v>0.25417000000000001</v>
      </c>
      <c r="BE62">
        <v>28.81</v>
      </c>
      <c r="BF62">
        <v>144.22800000000001</v>
      </c>
      <c r="BG62">
        <v>821.38400000000001</v>
      </c>
      <c r="BH62">
        <v>53.19</v>
      </c>
      <c r="BI62">
        <v>2227.2399999999998</v>
      </c>
      <c r="BJ62" s="2">
        <v>0.10346</v>
      </c>
      <c r="BK62" s="2">
        <v>5.9930000000000004E-2</v>
      </c>
      <c r="BL62" s="2">
        <v>0.15881000000000001</v>
      </c>
      <c r="BM62">
        <v>177.97200000000001</v>
      </c>
      <c r="BN62">
        <v>1250.7270000000001</v>
      </c>
      <c r="BO62">
        <v>7270.4579999999996</v>
      </c>
      <c r="BP62">
        <v>470.81</v>
      </c>
      <c r="BQ62">
        <v>19314.276999999998</v>
      </c>
      <c r="BR62" s="2">
        <v>0.91578000000000004</v>
      </c>
      <c r="BS62" s="2">
        <v>0.51969999999999994</v>
      </c>
      <c r="BT62">
        <v>-49.93</v>
      </c>
      <c r="BU62" s="2">
        <v>-0.10757</v>
      </c>
      <c r="BV62" s="2">
        <v>0.14749000000000001</v>
      </c>
      <c r="BW62">
        <v>105.682</v>
      </c>
      <c r="BX62">
        <v>843.03899999999999</v>
      </c>
      <c r="BY62">
        <v>5183</v>
      </c>
      <c r="BZ62">
        <v>336</v>
      </c>
      <c r="CA62">
        <v>13018.581</v>
      </c>
      <c r="CB62" s="2">
        <v>0.65</v>
      </c>
      <c r="CC62" s="2">
        <v>0.3503</v>
      </c>
      <c r="CD62" s="2">
        <v>-1.2580000000000001E-2</v>
      </c>
      <c r="CE62">
        <v>-9.7859999999999996</v>
      </c>
      <c r="CF62">
        <v>767.88199999999995</v>
      </c>
      <c r="CG62">
        <v>149.946</v>
      </c>
      <c r="CH62">
        <v>9.7100000000000009</v>
      </c>
      <c r="CI62">
        <v>11857.977000000001</v>
      </c>
      <c r="CN62" s="2">
        <v>1.8890000000000001E-2</v>
      </c>
      <c r="CO62" s="2">
        <v>0.31907000000000002</v>
      </c>
      <c r="CP62">
        <v>30.978000000000002</v>
      </c>
      <c r="CQ62">
        <v>10.1</v>
      </c>
      <c r="CR62">
        <v>0.6</v>
      </c>
      <c r="CS62" s="2">
        <v>-2.8599999999999997E-3</v>
      </c>
      <c r="CT62">
        <v>-8.8999999999999996E-2</v>
      </c>
      <c r="CU62">
        <v>156</v>
      </c>
      <c r="CV62">
        <v>9</v>
      </c>
      <c r="CW62">
        <v>478.37200000000001</v>
      </c>
      <c r="CX62" s="2">
        <v>1.9650000000000001E-2</v>
      </c>
      <c r="CY62" s="2">
        <v>1.17E-3</v>
      </c>
      <c r="CZ62" s="2">
        <v>1.2869999999999999E-2</v>
      </c>
      <c r="DA62">
        <v>7939.1149999999998</v>
      </c>
      <c r="DB62">
        <v>2406.6329999999998</v>
      </c>
      <c r="DC62" s="2">
        <v>0.18087</v>
      </c>
      <c r="DD62">
        <v>72.290000000000006</v>
      </c>
      <c r="DE62">
        <v>407.68799999999999</v>
      </c>
      <c r="DF62">
        <v>2087.201</v>
      </c>
      <c r="DG62">
        <v>135.16</v>
      </c>
      <c r="DH62">
        <v>6295.6970000000001</v>
      </c>
      <c r="DI62" s="2">
        <v>0.26289999999999997</v>
      </c>
      <c r="DJ62" s="2">
        <v>0.16940000000000002</v>
      </c>
      <c r="DK62" s="2">
        <v>0.16211999999999999</v>
      </c>
      <c r="DL62">
        <v>7.8810000000000002</v>
      </c>
      <c r="DM62">
        <v>57.792000000000002</v>
      </c>
      <c r="DN62">
        <v>359.19099999999997</v>
      </c>
      <c r="DO62">
        <v>23.26</v>
      </c>
      <c r="DP62">
        <v>892.447</v>
      </c>
      <c r="DQ62" s="2">
        <v>4.5240000000000002E-2</v>
      </c>
      <c r="DR62" s="2">
        <v>2.4009999999999997E-2</v>
      </c>
      <c r="DS62" s="2">
        <v>0.38016</v>
      </c>
      <c r="DT62">
        <v>37.070999999999998</v>
      </c>
      <c r="DU62">
        <v>135.887</v>
      </c>
      <c r="DV62">
        <v>751</v>
      </c>
      <c r="DW62">
        <v>48.61</v>
      </c>
      <c r="DX62">
        <v>2098.4290000000001</v>
      </c>
      <c r="DY62" s="2">
        <v>9.4549999999999995E-2</v>
      </c>
      <c r="DZ62" s="2">
        <v>5.6459999999999996E-2</v>
      </c>
    </row>
    <row r="63" spans="1:130" x14ac:dyDescent="0.3">
      <c r="A63" t="s">
        <v>165</v>
      </c>
      <c r="B63">
        <v>2023</v>
      </c>
      <c r="C63" t="s">
        <v>168</v>
      </c>
      <c r="D63" s="1">
        <v>83294632</v>
      </c>
      <c r="G63" s="2">
        <v>3.533E-2</v>
      </c>
      <c r="H63">
        <v>1.234</v>
      </c>
      <c r="I63">
        <v>434.30900000000003</v>
      </c>
      <c r="J63">
        <v>36.176000000000002</v>
      </c>
      <c r="K63">
        <v>552</v>
      </c>
      <c r="L63">
        <v>46.02</v>
      </c>
      <c r="M63" s="2">
        <v>9.1170000000000015E-2</v>
      </c>
      <c r="N63" s="2">
        <v>1.141E-2</v>
      </c>
      <c r="O63">
        <v>380.95</v>
      </c>
      <c r="P63" s="2">
        <v>-0.20963999999999999</v>
      </c>
      <c r="Q63">
        <v>-134.53800000000001</v>
      </c>
      <c r="R63">
        <v>6089.4949999999999</v>
      </c>
      <c r="S63">
        <v>507.22199999999998</v>
      </c>
      <c r="T63">
        <v>1624.9549999999999</v>
      </c>
      <c r="U63">
        <v>135.35</v>
      </c>
      <c r="V63" s="2">
        <v>-0.23207999999999998</v>
      </c>
      <c r="W63">
        <v>-76.900000000000006</v>
      </c>
      <c r="X63">
        <v>3054.752</v>
      </c>
      <c r="Y63">
        <v>254.44399999999999</v>
      </c>
      <c r="Z63" s="2">
        <v>0.26812999999999998</v>
      </c>
      <c r="AA63" s="2">
        <v>0.16003000000000001</v>
      </c>
      <c r="AB63">
        <v>513.71</v>
      </c>
      <c r="AC63">
        <v>504.79</v>
      </c>
      <c r="AD63" s="2">
        <v>0.18780000000000002</v>
      </c>
      <c r="AE63" s="2">
        <v>-7.1330000000000005E-2</v>
      </c>
      <c r="AF63">
        <v>-243.45</v>
      </c>
      <c r="AG63">
        <v>38052.269999999997</v>
      </c>
      <c r="AI63" s="2">
        <v>-8.4220000000000003E-2</v>
      </c>
      <c r="AJ63">
        <v>-218.72499999999999</v>
      </c>
      <c r="AK63">
        <v>2779.0509999999999</v>
      </c>
      <c r="AL63">
        <v>231.48</v>
      </c>
      <c r="AM63">
        <v>28553.773000000001</v>
      </c>
      <c r="AN63">
        <v>2378.3760000000002</v>
      </c>
      <c r="AO63" s="2">
        <v>0.45856999999999998</v>
      </c>
      <c r="AP63" s="2">
        <v>0.75037999999999994</v>
      </c>
      <c r="AQ63" s="2">
        <v>-2.426E-2</v>
      </c>
      <c r="AR63">
        <v>-18.809000000000001</v>
      </c>
      <c r="AS63">
        <v>756.63800000000003</v>
      </c>
      <c r="AT63">
        <v>912</v>
      </c>
      <c r="AU63">
        <v>76</v>
      </c>
      <c r="AV63">
        <v>9083.8760000000002</v>
      </c>
      <c r="AW63" s="2">
        <v>-0.10596999999999999</v>
      </c>
      <c r="AX63">
        <v>-4.5119999999999996</v>
      </c>
      <c r="AY63">
        <v>456.94600000000003</v>
      </c>
      <c r="AZ63">
        <v>38.061</v>
      </c>
      <c r="BA63" s="2">
        <v>0.15056</v>
      </c>
      <c r="BB63" s="2">
        <v>0.23871999999999999</v>
      </c>
      <c r="BC63">
        <v>192.3</v>
      </c>
      <c r="BD63" s="2">
        <v>0.11432</v>
      </c>
      <c r="BE63">
        <v>5.0670000000000002</v>
      </c>
      <c r="BF63">
        <v>51.015000000000001</v>
      </c>
      <c r="BG63">
        <v>233.869</v>
      </c>
      <c r="BH63">
        <v>19.48</v>
      </c>
      <c r="BI63">
        <v>612.47</v>
      </c>
      <c r="BJ63" s="2">
        <v>3.8589999999999999E-2</v>
      </c>
      <c r="BK63" s="2">
        <v>1.61E-2</v>
      </c>
      <c r="BL63" s="2">
        <v>-2.6080000000000002E-2</v>
      </c>
      <c r="BM63">
        <v>-24.725999999999999</v>
      </c>
      <c r="BN63">
        <v>791.17399999999998</v>
      </c>
      <c r="BO63">
        <v>3281.2440000000001</v>
      </c>
      <c r="BP63">
        <v>273.31</v>
      </c>
      <c r="BQ63">
        <v>9498.4950000000008</v>
      </c>
      <c r="BR63" s="2">
        <v>0.54142999999999997</v>
      </c>
      <c r="BS63" s="2">
        <v>0.24962000000000001</v>
      </c>
      <c r="BT63">
        <v>8.92</v>
      </c>
      <c r="BU63" s="2">
        <v>1.736E-2</v>
      </c>
      <c r="BV63" s="2">
        <v>-0.79209999999999992</v>
      </c>
      <c r="BW63">
        <v>-68.847999999999999</v>
      </c>
      <c r="BX63">
        <v>17.986999999999998</v>
      </c>
      <c r="BY63">
        <v>105</v>
      </c>
      <c r="BZ63">
        <v>9</v>
      </c>
      <c r="CA63">
        <v>215.94900000000001</v>
      </c>
      <c r="CB63" s="2">
        <v>0.02</v>
      </c>
      <c r="CC63" s="2">
        <v>5.6799999999999993E-3</v>
      </c>
      <c r="CD63" s="2">
        <v>-5.5410000000000001E-2</v>
      </c>
      <c r="CE63">
        <v>-65.378</v>
      </c>
      <c r="CF63">
        <v>1114.5160000000001</v>
      </c>
      <c r="CG63">
        <v>241.672</v>
      </c>
      <c r="CH63">
        <v>20.13</v>
      </c>
      <c r="CI63">
        <v>13380.403</v>
      </c>
      <c r="CN63" s="2">
        <v>3.9879999999999999E-2</v>
      </c>
      <c r="CO63" s="2">
        <v>0.35162999999999994</v>
      </c>
      <c r="CP63">
        <v>157.84100000000001</v>
      </c>
      <c r="CQ63">
        <v>46.23</v>
      </c>
      <c r="CR63">
        <v>0.21</v>
      </c>
      <c r="CS63" s="2">
        <v>-4.6460000000000001E-2</v>
      </c>
      <c r="CT63">
        <v>-7.7</v>
      </c>
      <c r="CU63">
        <v>555</v>
      </c>
      <c r="CV63">
        <v>3</v>
      </c>
      <c r="CW63">
        <v>1894.9749999999999</v>
      </c>
      <c r="CX63" s="2">
        <v>9.1579999999999995E-2</v>
      </c>
      <c r="CY63" s="2">
        <v>4.2000000000000002E-4</v>
      </c>
      <c r="CZ63" s="2">
        <v>4.9800000000000004E-2</v>
      </c>
      <c r="DA63">
        <v>6060.2950000000001</v>
      </c>
      <c r="DB63">
        <v>3169.55</v>
      </c>
      <c r="DC63" s="2">
        <v>6.5739999999999993E-2</v>
      </c>
      <c r="DD63">
        <v>44.122</v>
      </c>
      <c r="DE63">
        <v>773.18600000000004</v>
      </c>
      <c r="DF63">
        <v>3176.1950000000002</v>
      </c>
      <c r="DG63">
        <v>264.56</v>
      </c>
      <c r="DH63">
        <v>9282.5460000000003</v>
      </c>
      <c r="DI63" s="2">
        <v>0.52410000000000001</v>
      </c>
      <c r="DJ63" s="2">
        <v>0.24393999999999999</v>
      </c>
      <c r="DK63" s="2">
        <v>1.512E-2</v>
      </c>
      <c r="DL63">
        <v>1.798</v>
      </c>
      <c r="DM63">
        <v>159.018</v>
      </c>
      <c r="DN63">
        <v>739.06299999999999</v>
      </c>
      <c r="DO63">
        <v>61.56</v>
      </c>
      <c r="DP63">
        <v>1909.1079999999999</v>
      </c>
      <c r="DQ63" s="2">
        <v>0.12195</v>
      </c>
      <c r="DR63" s="2">
        <v>5.0170000000000006E-2</v>
      </c>
      <c r="DS63" s="2">
        <v>0.13849999999999998</v>
      </c>
      <c r="DT63">
        <v>43.722999999999999</v>
      </c>
      <c r="DU63">
        <v>369.13600000000002</v>
      </c>
      <c r="DV63">
        <v>1648</v>
      </c>
      <c r="DW63">
        <v>137.29</v>
      </c>
      <c r="DX63">
        <v>4431.6850000000004</v>
      </c>
      <c r="DY63" s="2">
        <v>0.27196999999999999</v>
      </c>
      <c r="DZ63" s="2">
        <v>0.11646000000000001</v>
      </c>
    </row>
    <row r="66" spans="3:130" x14ac:dyDescent="0.3">
      <c r="C66" s="5" t="s">
        <v>171</v>
      </c>
      <c r="D66" s="6">
        <f>COUNTA(D$2:D$63)/62</f>
        <v>1</v>
      </c>
      <c r="E66" s="6">
        <f>COUNTA(E$2:E$63)/62</f>
        <v>0.967741935483871</v>
      </c>
      <c r="F66" s="6">
        <f t="shared" ref="F66:BQ66" si="0">COUNTA(F$2:F$63)/62</f>
        <v>0.967741935483871</v>
      </c>
      <c r="G66" s="6">
        <f t="shared" si="0"/>
        <v>1</v>
      </c>
      <c r="H66" s="6">
        <f t="shared" si="0"/>
        <v>1</v>
      </c>
      <c r="I66" s="6">
        <f t="shared" si="0"/>
        <v>1</v>
      </c>
      <c r="J66" s="6">
        <f t="shared" si="0"/>
        <v>1</v>
      </c>
      <c r="K66" s="6">
        <f t="shared" si="0"/>
        <v>1</v>
      </c>
      <c r="L66" s="6">
        <f t="shared" si="0"/>
        <v>1</v>
      </c>
      <c r="M66" s="6">
        <f t="shared" si="0"/>
        <v>1</v>
      </c>
      <c r="N66" s="6">
        <f t="shared" si="0"/>
        <v>1</v>
      </c>
      <c r="O66" s="6">
        <f t="shared" si="0"/>
        <v>1</v>
      </c>
      <c r="P66" s="6">
        <f t="shared" si="0"/>
        <v>1</v>
      </c>
      <c r="Q66" s="6">
        <f t="shared" si="0"/>
        <v>1</v>
      </c>
      <c r="R66" s="6">
        <f t="shared" si="0"/>
        <v>1</v>
      </c>
      <c r="S66" s="6">
        <f t="shared" si="0"/>
        <v>1</v>
      </c>
      <c r="T66" s="6">
        <f t="shared" si="0"/>
        <v>1</v>
      </c>
      <c r="U66" s="6">
        <f t="shared" si="0"/>
        <v>1</v>
      </c>
      <c r="V66" s="6">
        <f t="shared" si="0"/>
        <v>0.70967741935483875</v>
      </c>
      <c r="W66" s="6">
        <f t="shared" si="0"/>
        <v>0.88709677419354838</v>
      </c>
      <c r="X66" s="6">
        <f t="shared" si="0"/>
        <v>0.88709677419354838</v>
      </c>
      <c r="Y66" s="6">
        <f t="shared" si="0"/>
        <v>0.88709677419354838</v>
      </c>
      <c r="Z66" s="6">
        <f t="shared" si="0"/>
        <v>1</v>
      </c>
      <c r="AA66" s="6">
        <f t="shared" si="0"/>
        <v>1</v>
      </c>
      <c r="AB66" s="6">
        <f t="shared" si="0"/>
        <v>1</v>
      </c>
      <c r="AC66" s="6">
        <f t="shared" si="0"/>
        <v>1</v>
      </c>
      <c r="AD66" s="6">
        <f t="shared" si="0"/>
        <v>1</v>
      </c>
      <c r="AE66" s="6">
        <f t="shared" si="0"/>
        <v>1</v>
      </c>
      <c r="AF66" s="6">
        <f t="shared" si="0"/>
        <v>1</v>
      </c>
      <c r="AG66" s="6">
        <f t="shared" si="0"/>
        <v>1</v>
      </c>
      <c r="AH66" s="6">
        <f t="shared" si="0"/>
        <v>0.967741935483871</v>
      </c>
      <c r="AI66" s="6">
        <f t="shared" si="0"/>
        <v>1</v>
      </c>
      <c r="AJ66" s="6">
        <f t="shared" si="0"/>
        <v>1</v>
      </c>
      <c r="AK66" s="6">
        <f t="shared" si="0"/>
        <v>1</v>
      </c>
      <c r="AL66" s="6">
        <f t="shared" si="0"/>
        <v>1</v>
      </c>
      <c r="AM66" s="6">
        <f t="shared" si="0"/>
        <v>1</v>
      </c>
      <c r="AN66" s="6">
        <f t="shared" si="0"/>
        <v>1</v>
      </c>
      <c r="AO66" s="6">
        <f t="shared" si="0"/>
        <v>1</v>
      </c>
      <c r="AP66" s="6">
        <f t="shared" si="0"/>
        <v>1</v>
      </c>
      <c r="AQ66" s="6">
        <f t="shared" si="0"/>
        <v>1</v>
      </c>
      <c r="AR66" s="6">
        <f t="shared" si="0"/>
        <v>1</v>
      </c>
      <c r="AS66" s="6">
        <f t="shared" si="0"/>
        <v>1</v>
      </c>
      <c r="AT66" s="6">
        <f t="shared" si="0"/>
        <v>1</v>
      </c>
      <c r="AU66" s="6">
        <f t="shared" si="0"/>
        <v>1</v>
      </c>
      <c r="AV66" s="6">
        <f t="shared" si="0"/>
        <v>1</v>
      </c>
      <c r="AW66" s="6">
        <f t="shared" si="0"/>
        <v>0.88709677419354838</v>
      </c>
      <c r="AX66" s="6">
        <f t="shared" si="0"/>
        <v>0.88709677419354838</v>
      </c>
      <c r="AY66" s="6">
        <f t="shared" si="0"/>
        <v>0.88709677419354838</v>
      </c>
      <c r="AZ66" s="6">
        <f t="shared" si="0"/>
        <v>0.88709677419354838</v>
      </c>
      <c r="BA66" s="6">
        <f t="shared" si="0"/>
        <v>1</v>
      </c>
      <c r="BB66" s="6">
        <f t="shared" si="0"/>
        <v>1</v>
      </c>
      <c r="BC66" s="6">
        <f t="shared" si="0"/>
        <v>1</v>
      </c>
      <c r="BD66" s="6">
        <f t="shared" si="0"/>
        <v>1</v>
      </c>
      <c r="BE66" s="6">
        <f t="shared" si="0"/>
        <v>1</v>
      </c>
      <c r="BF66" s="6">
        <f t="shared" si="0"/>
        <v>1</v>
      </c>
      <c r="BG66" s="6">
        <f t="shared" si="0"/>
        <v>1</v>
      </c>
      <c r="BH66" s="6">
        <f t="shared" si="0"/>
        <v>1</v>
      </c>
      <c r="BI66" s="6">
        <f t="shared" si="0"/>
        <v>1</v>
      </c>
      <c r="BJ66" s="6">
        <f t="shared" si="0"/>
        <v>1</v>
      </c>
      <c r="BK66" s="6">
        <f t="shared" si="0"/>
        <v>1</v>
      </c>
      <c r="BL66" s="6">
        <f t="shared" si="0"/>
        <v>1</v>
      </c>
      <c r="BM66" s="6">
        <f t="shared" si="0"/>
        <v>1</v>
      </c>
      <c r="BN66" s="6">
        <f t="shared" si="0"/>
        <v>1</v>
      </c>
      <c r="BO66" s="6">
        <f t="shared" si="0"/>
        <v>1</v>
      </c>
      <c r="BP66" s="6">
        <f t="shared" si="0"/>
        <v>1</v>
      </c>
      <c r="BQ66" s="6">
        <f t="shared" si="0"/>
        <v>1</v>
      </c>
      <c r="BR66" s="6">
        <f t="shared" ref="BR66:DZ66" si="1">COUNTA(BR$2:BR$63)/62</f>
        <v>1</v>
      </c>
      <c r="BS66" s="6">
        <f t="shared" si="1"/>
        <v>1</v>
      </c>
      <c r="BT66" s="6">
        <f t="shared" si="1"/>
        <v>1</v>
      </c>
      <c r="BU66" s="6">
        <f t="shared" si="1"/>
        <v>1</v>
      </c>
      <c r="BV66" s="6">
        <f t="shared" si="1"/>
        <v>1</v>
      </c>
      <c r="BW66" s="6">
        <f t="shared" si="1"/>
        <v>1</v>
      </c>
      <c r="BX66" s="6">
        <f t="shared" si="1"/>
        <v>1</v>
      </c>
      <c r="BY66" s="6">
        <f t="shared" si="1"/>
        <v>1</v>
      </c>
      <c r="BZ66" s="6">
        <f t="shared" si="1"/>
        <v>1</v>
      </c>
      <c r="CA66" s="6">
        <f t="shared" si="1"/>
        <v>1</v>
      </c>
      <c r="CB66" s="6">
        <f t="shared" si="1"/>
        <v>1</v>
      </c>
      <c r="CC66" s="6">
        <f t="shared" si="1"/>
        <v>1</v>
      </c>
      <c r="CD66" s="6">
        <f t="shared" si="1"/>
        <v>1</v>
      </c>
      <c r="CE66" s="6">
        <f t="shared" si="1"/>
        <v>1</v>
      </c>
      <c r="CF66" s="6">
        <f t="shared" si="1"/>
        <v>1</v>
      </c>
      <c r="CG66" s="6">
        <f t="shared" si="1"/>
        <v>1</v>
      </c>
      <c r="CH66" s="6">
        <f t="shared" si="1"/>
        <v>1</v>
      </c>
      <c r="CI66" s="6">
        <f t="shared" si="1"/>
        <v>1</v>
      </c>
      <c r="CJ66" s="6">
        <f t="shared" si="1"/>
        <v>0.77419354838709675</v>
      </c>
      <c r="CK66" s="6">
        <f t="shared" si="1"/>
        <v>0.77419354838709675</v>
      </c>
      <c r="CL66" s="6">
        <f t="shared" si="1"/>
        <v>0.77419354838709675</v>
      </c>
      <c r="CM66" s="6">
        <f t="shared" si="1"/>
        <v>0.77419354838709675</v>
      </c>
      <c r="CN66" s="6">
        <f t="shared" si="1"/>
        <v>1</v>
      </c>
      <c r="CO66" s="6">
        <f t="shared" si="1"/>
        <v>1</v>
      </c>
      <c r="CP66" s="6">
        <f t="shared" si="1"/>
        <v>1</v>
      </c>
      <c r="CQ66" s="6">
        <f t="shared" si="1"/>
        <v>1</v>
      </c>
      <c r="CR66" s="6">
        <f t="shared" si="1"/>
        <v>1</v>
      </c>
      <c r="CS66" s="6">
        <f t="shared" si="1"/>
        <v>1</v>
      </c>
      <c r="CT66" s="6">
        <f t="shared" si="1"/>
        <v>1</v>
      </c>
      <c r="CU66" s="6">
        <f t="shared" si="1"/>
        <v>1</v>
      </c>
      <c r="CV66" s="6">
        <f t="shared" si="1"/>
        <v>1</v>
      </c>
      <c r="CW66" s="6">
        <f t="shared" si="1"/>
        <v>1</v>
      </c>
      <c r="CX66" s="6">
        <f t="shared" si="1"/>
        <v>1</v>
      </c>
      <c r="CY66" s="6">
        <f t="shared" si="1"/>
        <v>1</v>
      </c>
      <c r="CZ66" s="6">
        <f t="shared" si="1"/>
        <v>1</v>
      </c>
      <c r="DA66" s="6">
        <f t="shared" si="1"/>
        <v>1</v>
      </c>
      <c r="DB66" s="6">
        <f t="shared" si="1"/>
        <v>1</v>
      </c>
      <c r="DC66" s="6">
        <f t="shared" si="1"/>
        <v>1</v>
      </c>
      <c r="DD66" s="6">
        <f t="shared" si="1"/>
        <v>1</v>
      </c>
      <c r="DE66" s="6">
        <f t="shared" si="1"/>
        <v>1</v>
      </c>
      <c r="DF66" s="6">
        <f t="shared" si="1"/>
        <v>1</v>
      </c>
      <c r="DG66" s="6">
        <f t="shared" si="1"/>
        <v>1</v>
      </c>
      <c r="DH66" s="6">
        <f t="shared" si="1"/>
        <v>1</v>
      </c>
      <c r="DI66" s="6">
        <f t="shared" si="1"/>
        <v>1</v>
      </c>
      <c r="DJ66" s="6">
        <f t="shared" si="1"/>
        <v>1</v>
      </c>
      <c r="DK66" s="6">
        <f t="shared" si="1"/>
        <v>0.9838709677419355</v>
      </c>
      <c r="DL66" s="6">
        <f t="shared" si="1"/>
        <v>1</v>
      </c>
      <c r="DM66" s="6">
        <f t="shared" si="1"/>
        <v>1</v>
      </c>
      <c r="DN66" s="6">
        <f t="shared" si="1"/>
        <v>1</v>
      </c>
      <c r="DO66" s="6">
        <f t="shared" si="1"/>
        <v>1</v>
      </c>
      <c r="DP66" s="6">
        <f t="shared" si="1"/>
        <v>1</v>
      </c>
      <c r="DQ66" s="6">
        <f t="shared" si="1"/>
        <v>1</v>
      </c>
      <c r="DR66" s="6">
        <f t="shared" si="1"/>
        <v>1</v>
      </c>
      <c r="DS66" s="6">
        <f t="shared" si="1"/>
        <v>1</v>
      </c>
      <c r="DT66" s="6">
        <f t="shared" si="1"/>
        <v>1</v>
      </c>
      <c r="DU66" s="6">
        <f t="shared" si="1"/>
        <v>1</v>
      </c>
      <c r="DV66" s="6">
        <f t="shared" si="1"/>
        <v>1</v>
      </c>
      <c r="DW66" s="6">
        <f t="shared" si="1"/>
        <v>1</v>
      </c>
      <c r="DX66" s="6">
        <f t="shared" si="1"/>
        <v>1</v>
      </c>
      <c r="DY66" s="6">
        <f t="shared" si="1"/>
        <v>1</v>
      </c>
      <c r="DZ66" s="6">
        <f t="shared" si="1"/>
        <v>1</v>
      </c>
    </row>
  </sheetData>
  <phoneticPr fontId="3" type="noConversion"/>
  <conditionalFormatting sqref="D1:DZ63">
    <cfRule type="containsBlanks" dxfId="1" priority="1">
      <formula>LEN(TRIM(D1))=0</formula>
    </cfRule>
    <cfRule type="cellIs" dxfId="0" priority="2" operator="equal">
      <formula>0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2650-B6A7-4201-B9A8-A07F1AEA5B10}">
  <dimension ref="A3:M37"/>
  <sheetViews>
    <sheetView workbookViewId="0">
      <selection activeCell="B3" sqref="B3"/>
    </sheetView>
  </sheetViews>
  <sheetFormatPr baseColWidth="10" defaultRowHeight="14.4" x14ac:dyDescent="0.3"/>
  <cols>
    <col min="1" max="1" width="14.6640625" bestFit="1" customWidth="1"/>
    <col min="2" max="2" width="31.44140625" bestFit="1" customWidth="1"/>
    <col min="3" max="3" width="32.5546875" bestFit="1" customWidth="1"/>
    <col min="4" max="4" width="31.44140625" bestFit="1" customWidth="1"/>
    <col min="5" max="5" width="32.5546875" bestFit="1" customWidth="1"/>
    <col min="6" max="6" width="39" bestFit="1" customWidth="1"/>
    <col min="7" max="7" width="40.109375" bestFit="1" customWidth="1"/>
    <col min="8" max="11" width="9" bestFit="1" customWidth="1"/>
    <col min="12" max="12" width="10.77734375" bestFit="1" customWidth="1"/>
    <col min="13" max="13" width="12.44140625" bestFit="1" customWidth="1"/>
  </cols>
  <sheetData>
    <row r="3" spans="1:7" x14ac:dyDescent="0.3">
      <c r="B3" s="3" t="s">
        <v>175</v>
      </c>
    </row>
    <row r="4" spans="1:7" x14ac:dyDescent="0.3">
      <c r="B4" t="s">
        <v>166</v>
      </c>
      <c r="D4" t="s">
        <v>165</v>
      </c>
      <c r="F4" t="s">
        <v>185</v>
      </c>
      <c r="G4" t="s">
        <v>187</v>
      </c>
    </row>
    <row r="5" spans="1:7" x14ac:dyDescent="0.3">
      <c r="A5" s="19" t="s">
        <v>177</v>
      </c>
      <c r="B5" t="s">
        <v>186</v>
      </c>
      <c r="C5" t="s">
        <v>188</v>
      </c>
      <c r="D5" t="s">
        <v>186</v>
      </c>
      <c r="E5" t="s">
        <v>188</v>
      </c>
    </row>
    <row r="6" spans="1:7" x14ac:dyDescent="0.3">
      <c r="A6" s="4">
        <v>1993</v>
      </c>
      <c r="B6" s="18">
        <v>1610.58</v>
      </c>
      <c r="C6" s="18">
        <v>1243.308</v>
      </c>
      <c r="D6" s="18">
        <v>3492.76</v>
      </c>
      <c r="E6" s="18">
        <v>498.76600000000002</v>
      </c>
      <c r="F6" s="18">
        <v>5103.34</v>
      </c>
      <c r="G6" s="18">
        <v>1742.0740000000001</v>
      </c>
    </row>
    <row r="7" spans="1:7" x14ac:dyDescent="0.3">
      <c r="A7" s="4">
        <v>1994</v>
      </c>
      <c r="B7" s="18">
        <v>1562.317</v>
      </c>
      <c r="C7" s="18">
        <v>1262.443</v>
      </c>
      <c r="D7" s="18">
        <v>3456.3519999999999</v>
      </c>
      <c r="E7" s="18">
        <v>497.82</v>
      </c>
      <c r="F7" s="18">
        <v>5018.6689999999999</v>
      </c>
      <c r="G7" s="18">
        <v>1760.2629999999999</v>
      </c>
    </row>
    <row r="8" spans="1:7" x14ac:dyDescent="0.3">
      <c r="A8" s="4">
        <v>1995</v>
      </c>
      <c r="B8" s="18">
        <v>1608.395</v>
      </c>
      <c r="C8" s="18">
        <v>1295.8030000000001</v>
      </c>
      <c r="D8" s="18">
        <v>3462.442</v>
      </c>
      <c r="E8" s="18">
        <v>512.35199999999998</v>
      </c>
      <c r="F8" s="18">
        <v>5070.8369999999995</v>
      </c>
      <c r="G8" s="18">
        <v>1808.1550000000002</v>
      </c>
    </row>
    <row r="9" spans="1:7" x14ac:dyDescent="0.3">
      <c r="A9" s="4">
        <v>1996</v>
      </c>
      <c r="B9" s="18">
        <v>1679.229</v>
      </c>
      <c r="C9" s="18">
        <v>1333.1189999999999</v>
      </c>
      <c r="D9" s="18">
        <v>3578.19</v>
      </c>
      <c r="E9" s="18">
        <v>527.65599999999995</v>
      </c>
      <c r="F9" s="18">
        <v>5257.4189999999999</v>
      </c>
      <c r="G9" s="18">
        <v>1860.7749999999999</v>
      </c>
    </row>
    <row r="10" spans="1:7" x14ac:dyDescent="0.3">
      <c r="A10" s="4">
        <v>1997</v>
      </c>
      <c r="B10" s="18">
        <v>1642.952</v>
      </c>
      <c r="C10" s="18">
        <v>1322.7270000000001</v>
      </c>
      <c r="D10" s="18">
        <v>3496.779</v>
      </c>
      <c r="E10" s="18">
        <v>556.40800000000002</v>
      </c>
      <c r="F10" s="18">
        <v>5139.7309999999998</v>
      </c>
      <c r="G10" s="18">
        <v>1879.1350000000002</v>
      </c>
    </row>
    <row r="11" spans="1:7" x14ac:dyDescent="0.3">
      <c r="A11" s="4">
        <v>1998</v>
      </c>
      <c r="B11" s="18">
        <v>1741.222</v>
      </c>
      <c r="C11" s="18">
        <v>1296</v>
      </c>
      <c r="D11" s="18">
        <v>3481.8789999999999</v>
      </c>
      <c r="E11" s="18">
        <v>537.75199999999995</v>
      </c>
      <c r="F11" s="18">
        <v>5223.1009999999997</v>
      </c>
      <c r="G11" s="18">
        <v>1833.752</v>
      </c>
    </row>
    <row r="12" spans="1:7" x14ac:dyDescent="0.3">
      <c r="A12" s="4">
        <v>1999</v>
      </c>
      <c r="B12" s="18">
        <v>1732.6369999999999</v>
      </c>
      <c r="C12" s="18">
        <v>1345.3789999999999</v>
      </c>
      <c r="D12" s="18">
        <v>3392.88</v>
      </c>
      <c r="E12" s="18">
        <v>570.68100000000004</v>
      </c>
      <c r="F12" s="18">
        <v>5125.5169999999998</v>
      </c>
      <c r="G12" s="18">
        <v>1916.06</v>
      </c>
    </row>
    <row r="13" spans="1:7" x14ac:dyDescent="0.3">
      <c r="A13" s="4">
        <v>2000</v>
      </c>
      <c r="B13" s="18">
        <v>1730.306</v>
      </c>
      <c r="C13" s="18">
        <v>1387.6030000000001</v>
      </c>
      <c r="D13" s="18">
        <v>3391.7759999999998</v>
      </c>
      <c r="E13" s="18">
        <v>596.40300000000002</v>
      </c>
      <c r="F13" s="18">
        <v>5122.0820000000003</v>
      </c>
      <c r="G13" s="18">
        <v>1984.0060000000001</v>
      </c>
    </row>
    <row r="14" spans="1:7" x14ac:dyDescent="0.3">
      <c r="A14" s="4">
        <v>2001</v>
      </c>
      <c r="B14" s="18">
        <v>1723.066</v>
      </c>
      <c r="C14" s="18">
        <v>1419.981</v>
      </c>
      <c r="D14" s="18">
        <v>3460.3809999999999</v>
      </c>
      <c r="E14" s="18">
        <v>602.41800000000001</v>
      </c>
      <c r="F14" s="18">
        <v>5183.4470000000001</v>
      </c>
      <c r="G14" s="18">
        <v>2022.3989999999999</v>
      </c>
    </row>
    <row r="15" spans="1:7" x14ac:dyDescent="0.3">
      <c r="A15" s="4">
        <v>2002</v>
      </c>
      <c r="B15" s="18">
        <v>1703.3440000000001</v>
      </c>
      <c r="C15" s="18">
        <v>1415.576</v>
      </c>
      <c r="D15" s="18">
        <v>3408.056</v>
      </c>
      <c r="E15" s="18">
        <v>603.66600000000005</v>
      </c>
      <c r="F15" s="18">
        <v>5111.3999999999996</v>
      </c>
      <c r="G15" s="18">
        <v>2019.2420000000002</v>
      </c>
    </row>
    <row r="16" spans="1:7" x14ac:dyDescent="0.3">
      <c r="A16" s="4">
        <v>2003</v>
      </c>
      <c r="B16" s="18">
        <v>1738.047</v>
      </c>
      <c r="C16" s="18">
        <v>1414.9949999999999</v>
      </c>
      <c r="D16" s="18">
        <v>3405.0569999999998</v>
      </c>
      <c r="E16" s="18">
        <v>605.41399999999999</v>
      </c>
      <c r="F16" s="18">
        <v>5143.1039999999994</v>
      </c>
      <c r="G16" s="18">
        <v>2020.4089999999999</v>
      </c>
    </row>
    <row r="17" spans="1:7" x14ac:dyDescent="0.3">
      <c r="A17" s="4">
        <v>2004</v>
      </c>
      <c r="B17" s="18">
        <v>1751.327</v>
      </c>
      <c r="C17" s="18">
        <v>1428.8019999999999</v>
      </c>
      <c r="D17" s="18">
        <v>3366.8110000000001</v>
      </c>
      <c r="E17" s="18">
        <v>643.08199999999999</v>
      </c>
      <c r="F17" s="18">
        <v>5118.1379999999999</v>
      </c>
      <c r="G17" s="18">
        <v>2071.884</v>
      </c>
    </row>
    <row r="18" spans="1:7" x14ac:dyDescent="0.3">
      <c r="A18" s="4">
        <v>2005</v>
      </c>
      <c r="B18" s="18">
        <v>1744.2670000000001</v>
      </c>
      <c r="C18" s="18">
        <v>1409.8119999999999</v>
      </c>
      <c r="D18" s="18">
        <v>3308.2550000000001</v>
      </c>
      <c r="E18" s="18">
        <v>654.38</v>
      </c>
      <c r="F18" s="18">
        <v>5052.5219999999999</v>
      </c>
      <c r="G18" s="18">
        <v>2064.192</v>
      </c>
    </row>
    <row r="19" spans="1:7" x14ac:dyDescent="0.3">
      <c r="A19" s="4">
        <v>2006</v>
      </c>
      <c r="B19" s="18">
        <v>1713.03</v>
      </c>
      <c r="C19" s="18">
        <v>1415.9</v>
      </c>
      <c r="D19" s="18">
        <v>3360.6170000000002</v>
      </c>
      <c r="E19" s="18">
        <v>701.77</v>
      </c>
      <c r="F19" s="18">
        <v>5073.6469999999999</v>
      </c>
      <c r="G19" s="18">
        <v>2117.67</v>
      </c>
    </row>
    <row r="20" spans="1:7" x14ac:dyDescent="0.3">
      <c r="A20" s="4">
        <v>2007</v>
      </c>
      <c r="B20" s="18">
        <v>1678.673</v>
      </c>
      <c r="C20" s="18">
        <v>1397.116</v>
      </c>
      <c r="D20" s="18">
        <v>3214.107</v>
      </c>
      <c r="E20" s="18">
        <v>679.31600000000003</v>
      </c>
      <c r="F20" s="18">
        <v>4892.78</v>
      </c>
      <c r="G20" s="18">
        <v>2076.4319999999998</v>
      </c>
    </row>
    <row r="21" spans="1:7" x14ac:dyDescent="0.3">
      <c r="A21" s="4">
        <v>2008</v>
      </c>
      <c r="B21" s="18">
        <v>1664.6469999999999</v>
      </c>
      <c r="C21" s="18">
        <v>1420.1980000000001</v>
      </c>
      <c r="D21" s="18">
        <v>3225.884</v>
      </c>
      <c r="E21" s="18">
        <v>708.78300000000002</v>
      </c>
      <c r="F21" s="18">
        <v>4890.5309999999999</v>
      </c>
      <c r="G21" s="18">
        <v>2128.9810000000002</v>
      </c>
    </row>
    <row r="22" spans="1:7" x14ac:dyDescent="0.3">
      <c r="A22" s="4">
        <v>2009</v>
      </c>
      <c r="B22" s="18">
        <v>1586.614</v>
      </c>
      <c r="C22" s="18">
        <v>1322.297</v>
      </c>
      <c r="D22" s="18">
        <v>3018.4319999999998</v>
      </c>
      <c r="E22" s="18">
        <v>673.74599999999998</v>
      </c>
      <c r="F22" s="18">
        <v>4605.0460000000003</v>
      </c>
      <c r="G22" s="18">
        <v>1996.0430000000001</v>
      </c>
    </row>
    <row r="23" spans="1:7" x14ac:dyDescent="0.3">
      <c r="A23" s="4">
        <v>2010</v>
      </c>
      <c r="B23" s="18">
        <v>1613.471</v>
      </c>
      <c r="C23" s="18">
        <v>1387.76</v>
      </c>
      <c r="D23" s="18">
        <v>3134.529</v>
      </c>
      <c r="E23" s="18">
        <v>712.62199999999996</v>
      </c>
      <c r="F23" s="18">
        <v>4748</v>
      </c>
      <c r="G23" s="18">
        <v>2100.3820000000001</v>
      </c>
    </row>
    <row r="24" spans="1:7" x14ac:dyDescent="0.3">
      <c r="A24" s="4">
        <v>2011</v>
      </c>
      <c r="B24" s="18">
        <v>1517.902</v>
      </c>
      <c r="C24" s="18">
        <v>1379.125</v>
      </c>
      <c r="D24" s="18">
        <v>3032.6689999999999</v>
      </c>
      <c r="E24" s="18">
        <v>677.91600000000005</v>
      </c>
      <c r="F24" s="18">
        <v>4550.5709999999999</v>
      </c>
      <c r="G24" s="18">
        <v>2057.0410000000002</v>
      </c>
    </row>
    <row r="25" spans="1:7" x14ac:dyDescent="0.3">
      <c r="A25" s="4">
        <v>2012</v>
      </c>
      <c r="B25" s="18">
        <v>1513.171</v>
      </c>
      <c r="C25" s="18">
        <v>1380.857</v>
      </c>
      <c r="D25" s="18">
        <v>3052.5639999999999</v>
      </c>
      <c r="E25" s="18">
        <v>709.35199999999998</v>
      </c>
      <c r="F25" s="18">
        <v>4565.7349999999997</v>
      </c>
      <c r="G25" s="18">
        <v>2090.2089999999998</v>
      </c>
    </row>
    <row r="26" spans="1:7" x14ac:dyDescent="0.3">
      <c r="A26" s="4">
        <v>2013</v>
      </c>
      <c r="B26" s="18">
        <v>1516.7809999999999</v>
      </c>
      <c r="C26" s="18">
        <v>1407.364</v>
      </c>
      <c r="D26" s="18">
        <v>3147.4050000000002</v>
      </c>
      <c r="E26" s="18">
        <v>721.11300000000006</v>
      </c>
      <c r="F26" s="18">
        <v>4664.1859999999997</v>
      </c>
      <c r="G26" s="18">
        <v>2128.4769999999999</v>
      </c>
    </row>
    <row r="27" spans="1:7" x14ac:dyDescent="0.3">
      <c r="A27" s="4">
        <v>2014</v>
      </c>
      <c r="B27" s="18">
        <v>1375.7170000000001</v>
      </c>
      <c r="C27" s="18">
        <v>1421.126</v>
      </c>
      <c r="D27" s="18">
        <v>2963.163</v>
      </c>
      <c r="E27" s="18">
        <v>747.30100000000004</v>
      </c>
      <c r="F27" s="18">
        <v>4338.88</v>
      </c>
      <c r="G27" s="18">
        <v>2168.4270000000001</v>
      </c>
    </row>
    <row r="28" spans="1:7" x14ac:dyDescent="0.3">
      <c r="A28" s="4">
        <v>2015</v>
      </c>
      <c r="B28" s="18">
        <v>1412.453</v>
      </c>
      <c r="C28" s="18">
        <v>1409.82</v>
      </c>
      <c r="D28" s="18">
        <v>2981.134</v>
      </c>
      <c r="E28" s="18">
        <v>799.726</v>
      </c>
      <c r="F28" s="18">
        <v>4393.5869999999995</v>
      </c>
      <c r="G28" s="18">
        <v>2209.5459999999998</v>
      </c>
    </row>
    <row r="29" spans="1:7" x14ac:dyDescent="0.3">
      <c r="A29" s="4">
        <v>2016</v>
      </c>
      <c r="B29" s="18">
        <v>1432.8119999999999</v>
      </c>
      <c r="C29" s="18">
        <v>1332.6410000000001</v>
      </c>
      <c r="D29" s="18">
        <v>3060.6610000000001</v>
      </c>
      <c r="E29" s="18">
        <v>780.79</v>
      </c>
      <c r="F29" s="18">
        <v>4493.473</v>
      </c>
      <c r="G29" s="18">
        <v>2113.431</v>
      </c>
    </row>
    <row r="30" spans="1:7" x14ac:dyDescent="0.3">
      <c r="A30" s="4">
        <v>2017</v>
      </c>
      <c r="B30" s="18">
        <v>1458.23</v>
      </c>
      <c r="C30" s="18">
        <v>1296.6890000000001</v>
      </c>
      <c r="D30" s="18">
        <v>3060.8209999999999</v>
      </c>
      <c r="E30" s="18">
        <v>827.31299999999999</v>
      </c>
      <c r="F30" s="18">
        <v>4519.0509999999995</v>
      </c>
      <c r="G30" s="18">
        <v>2124.002</v>
      </c>
    </row>
    <row r="31" spans="1:7" x14ac:dyDescent="0.3">
      <c r="A31" s="4">
        <v>2018</v>
      </c>
      <c r="B31" s="18">
        <v>1408.24</v>
      </c>
      <c r="C31" s="18">
        <v>1380.7159999999999</v>
      </c>
      <c r="D31" s="18">
        <v>2944.4369999999999</v>
      </c>
      <c r="E31" s="18">
        <v>843.24599999999998</v>
      </c>
      <c r="F31" s="18">
        <v>4352.6769999999997</v>
      </c>
      <c r="G31" s="18">
        <v>2223.962</v>
      </c>
    </row>
    <row r="32" spans="1:7" x14ac:dyDescent="0.3">
      <c r="A32" s="4">
        <v>2019</v>
      </c>
      <c r="B32" s="18">
        <v>1388.441</v>
      </c>
      <c r="C32" s="18">
        <v>1341.1220000000001</v>
      </c>
      <c r="D32" s="18">
        <v>2809.212</v>
      </c>
      <c r="E32" s="18">
        <v>885.62800000000004</v>
      </c>
      <c r="F32" s="18">
        <v>4197.6530000000002</v>
      </c>
      <c r="G32" s="18">
        <v>2226.75</v>
      </c>
    </row>
    <row r="33" spans="1:7" x14ac:dyDescent="0.3">
      <c r="A33" s="4">
        <v>2020</v>
      </c>
      <c r="B33" s="18">
        <v>1190.1990000000001</v>
      </c>
      <c r="C33" s="18">
        <v>1250.9670000000001</v>
      </c>
      <c r="D33" s="18">
        <v>2554.1460000000002</v>
      </c>
      <c r="E33" s="18">
        <v>889.73599999999999</v>
      </c>
      <c r="F33" s="18">
        <v>3744.3450000000003</v>
      </c>
      <c r="G33" s="18">
        <v>2140.703</v>
      </c>
    </row>
    <row r="34" spans="1:7" x14ac:dyDescent="0.3">
      <c r="A34" s="4">
        <v>2021</v>
      </c>
      <c r="B34" s="18">
        <v>1287.57</v>
      </c>
      <c r="C34" s="18">
        <v>1306.0550000000001</v>
      </c>
      <c r="D34" s="18">
        <v>2695.1550000000002</v>
      </c>
      <c r="E34" s="18">
        <v>849.42600000000004</v>
      </c>
      <c r="F34" s="18">
        <v>3982.7250000000004</v>
      </c>
      <c r="G34" s="18">
        <v>2155.4810000000002</v>
      </c>
    </row>
    <row r="35" spans="1:7" x14ac:dyDescent="0.3">
      <c r="A35" s="4">
        <v>2022</v>
      </c>
      <c r="B35" s="18">
        <v>1225.8050000000001</v>
      </c>
      <c r="C35" s="18">
        <v>1072.7550000000001</v>
      </c>
      <c r="D35" s="18">
        <v>2597.1010000000001</v>
      </c>
      <c r="E35" s="18">
        <v>815.899</v>
      </c>
      <c r="F35" s="18">
        <v>3822.9059999999999</v>
      </c>
      <c r="G35" s="18">
        <v>1888.654</v>
      </c>
    </row>
    <row r="36" spans="1:7" x14ac:dyDescent="0.3">
      <c r="A36" s="4">
        <v>2023</v>
      </c>
      <c r="B36" s="18">
        <v>1155.9059999999999</v>
      </c>
      <c r="C36" s="18">
        <v>1250.7270000000001</v>
      </c>
      <c r="D36" s="18">
        <v>2378.3760000000002</v>
      </c>
      <c r="E36" s="18">
        <v>791.17399999999998</v>
      </c>
      <c r="F36" s="18">
        <v>3534.2820000000002</v>
      </c>
      <c r="G36" s="18">
        <v>2041.9010000000001</v>
      </c>
    </row>
    <row r="37" spans="1:7" x14ac:dyDescent="0.3">
      <c r="A37" s="4" t="s">
        <v>170</v>
      </c>
      <c r="B37" s="18">
        <v>48107.35100000001</v>
      </c>
      <c r="C37" s="18">
        <v>41748.782999999996</v>
      </c>
      <c r="D37" s="18">
        <v>97932.031000000017</v>
      </c>
      <c r="E37" s="18">
        <v>21221.654999999999</v>
      </c>
      <c r="F37" s="18">
        <v>146039.38199999998</v>
      </c>
      <c r="G37" s="18">
        <v>62970.437999999995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97A2-D820-4AE5-B54B-DAD6AF32D50B}">
  <dimension ref="B3:W23"/>
  <sheetViews>
    <sheetView topLeftCell="A21" zoomScaleNormal="100" workbookViewId="0">
      <selection activeCell="H26" sqref="H26"/>
    </sheetView>
  </sheetViews>
  <sheetFormatPr baseColWidth="10" defaultRowHeight="14.4" x14ac:dyDescent="0.3"/>
  <cols>
    <col min="1" max="1" width="11.88671875" customWidth="1"/>
    <col min="6" max="6" width="9" customWidth="1"/>
    <col min="7" max="7" width="7.77734375" customWidth="1"/>
    <col min="12" max="12" width="8.88671875" customWidth="1"/>
    <col min="13" max="13" width="7.88671875" customWidth="1"/>
    <col min="18" max="18" width="8.88671875" customWidth="1"/>
  </cols>
  <sheetData>
    <row r="3" spans="20:23" x14ac:dyDescent="0.3">
      <c r="T3" s="16" t="s">
        <v>183</v>
      </c>
      <c r="U3" s="17"/>
      <c r="V3" s="17"/>
      <c r="W3" s="17"/>
    </row>
    <row r="4" spans="20:23" x14ac:dyDescent="0.3">
      <c r="T4" s="17"/>
      <c r="U4" s="17"/>
      <c r="V4" s="17"/>
      <c r="W4" s="17"/>
    </row>
    <row r="5" spans="20:23" x14ac:dyDescent="0.3">
      <c r="T5" s="17"/>
      <c r="U5" s="17"/>
      <c r="V5" s="17"/>
      <c r="W5" s="17"/>
    </row>
    <row r="6" spans="20:23" x14ac:dyDescent="0.3">
      <c r="T6" s="17"/>
      <c r="U6" s="17"/>
      <c r="V6" s="17"/>
      <c r="W6" s="17"/>
    </row>
    <row r="7" spans="20:23" x14ac:dyDescent="0.3">
      <c r="T7" s="17"/>
      <c r="U7" s="17"/>
      <c r="V7" s="17"/>
      <c r="W7" s="17"/>
    </row>
    <row r="8" spans="20:23" x14ac:dyDescent="0.3">
      <c r="T8" s="17"/>
      <c r="U8" s="17"/>
      <c r="V8" s="17"/>
      <c r="W8" s="17"/>
    </row>
    <row r="9" spans="20:23" x14ac:dyDescent="0.3">
      <c r="T9" s="17"/>
      <c r="U9" s="17"/>
      <c r="V9" s="17"/>
      <c r="W9" s="17"/>
    </row>
    <row r="10" spans="20:23" x14ac:dyDescent="0.3">
      <c r="T10" s="17"/>
      <c r="U10" s="17"/>
      <c r="V10" s="17"/>
      <c r="W10" s="17"/>
    </row>
    <row r="11" spans="20:23" x14ac:dyDescent="0.3">
      <c r="T11" s="17"/>
      <c r="U11" s="17"/>
      <c r="V11" s="17"/>
      <c r="W11" s="17"/>
    </row>
    <row r="12" spans="20:23" x14ac:dyDescent="0.3">
      <c r="T12" s="17"/>
      <c r="U12" s="17"/>
      <c r="V12" s="17"/>
      <c r="W12" s="17"/>
    </row>
    <row r="13" spans="20:23" x14ac:dyDescent="0.3">
      <c r="T13" s="17"/>
      <c r="U13" s="17"/>
      <c r="V13" s="17"/>
      <c r="W13" s="17"/>
    </row>
    <row r="14" spans="20:23" x14ac:dyDescent="0.3">
      <c r="T14" s="17"/>
      <c r="U14" s="17"/>
      <c r="V14" s="17"/>
      <c r="W14" s="17"/>
    </row>
    <row r="15" spans="20:23" x14ac:dyDescent="0.3">
      <c r="T15" s="17"/>
      <c r="U15" s="17"/>
      <c r="V15" s="17"/>
      <c r="W15" s="17"/>
    </row>
    <row r="16" spans="20:23" x14ac:dyDescent="0.3">
      <c r="T16" s="17"/>
      <c r="U16" s="17"/>
      <c r="V16" s="17"/>
      <c r="W16" s="17"/>
    </row>
    <row r="17" spans="2:18" ht="14.4" customHeight="1" x14ac:dyDescent="0.3">
      <c r="B17" s="13"/>
      <c r="C17" s="13"/>
      <c r="D17" s="13"/>
      <c r="E17" s="13"/>
      <c r="F17" s="13"/>
      <c r="H17" s="13"/>
      <c r="I17" s="13"/>
      <c r="J17" s="13"/>
      <c r="K17" s="13"/>
      <c r="L17" s="13"/>
      <c r="N17" s="13"/>
      <c r="O17" s="13"/>
      <c r="P17" s="13"/>
      <c r="Q17" s="13"/>
      <c r="R17" s="13"/>
    </row>
    <row r="18" spans="2:18" x14ac:dyDescent="0.3">
      <c r="B18" s="13"/>
      <c r="C18" s="13"/>
      <c r="D18" s="13"/>
      <c r="E18" s="13"/>
      <c r="F18" s="13"/>
      <c r="H18" s="13"/>
      <c r="I18" s="13"/>
      <c r="J18" s="13"/>
      <c r="K18" s="13"/>
      <c r="L18" s="13"/>
      <c r="N18" s="13"/>
      <c r="O18" s="13"/>
      <c r="P18" s="13"/>
      <c r="Q18" s="13"/>
      <c r="R18" s="13"/>
    </row>
    <row r="19" spans="2:18" ht="14.4" customHeight="1" x14ac:dyDescent="0.3">
      <c r="B19" s="14" t="s">
        <v>180</v>
      </c>
      <c r="C19" s="14"/>
      <c r="D19" s="14"/>
      <c r="E19" s="14"/>
      <c r="F19" s="14"/>
      <c r="H19" s="15" t="s">
        <v>182</v>
      </c>
      <c r="I19" s="15"/>
      <c r="J19" s="15"/>
      <c r="K19" s="15"/>
      <c r="L19" s="15"/>
      <c r="N19" s="15" t="s">
        <v>181</v>
      </c>
      <c r="O19" s="15"/>
      <c r="P19" s="15"/>
      <c r="Q19" s="15"/>
      <c r="R19" s="15"/>
    </row>
    <row r="20" spans="2:18" x14ac:dyDescent="0.3">
      <c r="B20" s="14"/>
      <c r="C20" s="14"/>
      <c r="D20" s="14"/>
      <c r="E20" s="14"/>
      <c r="F20" s="14"/>
      <c r="H20" s="15"/>
      <c r="I20" s="15"/>
      <c r="J20" s="15"/>
      <c r="K20" s="15"/>
      <c r="L20" s="15"/>
      <c r="N20" s="15"/>
      <c r="O20" s="15"/>
      <c r="P20" s="15"/>
      <c r="Q20" s="15"/>
      <c r="R20" s="15"/>
    </row>
    <row r="21" spans="2:18" ht="18.600000000000001" customHeight="1" x14ac:dyDescent="0.3">
      <c r="B21" s="14"/>
      <c r="C21" s="14"/>
      <c r="D21" s="14"/>
      <c r="E21" s="14"/>
      <c r="F21" s="14"/>
      <c r="H21" s="15"/>
      <c r="I21" s="15"/>
      <c r="J21" s="15"/>
      <c r="K21" s="15"/>
      <c r="L21" s="15"/>
      <c r="N21" s="15"/>
      <c r="O21" s="15"/>
      <c r="P21" s="15"/>
      <c r="Q21" s="15"/>
      <c r="R21" s="15"/>
    </row>
    <row r="22" spans="2:18" x14ac:dyDescent="0.3">
      <c r="B22" s="14"/>
      <c r="C22" s="14"/>
      <c r="D22" s="14"/>
      <c r="E22" s="14"/>
      <c r="F22" s="14"/>
      <c r="H22" s="15"/>
      <c r="I22" s="15"/>
      <c r="J22" s="15"/>
      <c r="K22" s="15"/>
      <c r="L22" s="15"/>
      <c r="N22" s="15"/>
      <c r="O22" s="15"/>
      <c r="P22" s="15"/>
      <c r="Q22" s="15"/>
      <c r="R22" s="15"/>
    </row>
    <row r="23" spans="2:18" x14ac:dyDescent="0.3">
      <c r="B23" s="14"/>
      <c r="C23" s="14"/>
      <c r="D23" s="14"/>
      <c r="E23" s="14"/>
      <c r="F23" s="14"/>
      <c r="H23" s="15"/>
      <c r="I23" s="15"/>
      <c r="J23" s="15"/>
      <c r="K23" s="15"/>
      <c r="L23" s="15"/>
      <c r="N23" s="15"/>
      <c r="O23" s="15"/>
      <c r="P23" s="15"/>
      <c r="Q23" s="15"/>
      <c r="R23" s="15"/>
    </row>
  </sheetData>
  <mergeCells count="7">
    <mergeCell ref="N17:R18"/>
    <mergeCell ref="N19:R23"/>
    <mergeCell ref="T3:W16"/>
    <mergeCell ref="B17:F18"/>
    <mergeCell ref="B19:F23"/>
    <mergeCell ref="H17:L18"/>
    <mergeCell ref="H19:L23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31AE7-4506-47DB-9CC2-5B7650482071}">
  <dimension ref="A1:H128"/>
  <sheetViews>
    <sheetView workbookViewId="0">
      <selection activeCell="M12" sqref="M12"/>
    </sheetView>
  </sheetViews>
  <sheetFormatPr baseColWidth="10" defaultRowHeight="14.4" x14ac:dyDescent="0.3"/>
  <cols>
    <col min="1" max="1" width="22" customWidth="1"/>
    <col min="2" max="2" width="19.5546875" bestFit="1" customWidth="1"/>
  </cols>
  <sheetData>
    <row r="1" spans="1:8" x14ac:dyDescent="0.3">
      <c r="A1" t="s">
        <v>172</v>
      </c>
      <c r="B1" s="2" t="s">
        <v>171</v>
      </c>
      <c r="C1" s="9" t="s">
        <v>173</v>
      </c>
    </row>
    <row r="2" spans="1:8" x14ac:dyDescent="0.3">
      <c r="A2" t="s">
        <v>31</v>
      </c>
      <c r="B2" s="2">
        <v>0.70967741935483875</v>
      </c>
      <c r="C2" s="2">
        <f>AVERAGE(Tabelle4[Data Completeness])</f>
        <v>0.98348996697993396</v>
      </c>
    </row>
    <row r="3" spans="1:8" x14ac:dyDescent="0.3">
      <c r="A3" t="s">
        <v>111</v>
      </c>
      <c r="B3" s="2">
        <v>0.77419354838709675</v>
      </c>
      <c r="E3" s="11" t="s">
        <v>174</v>
      </c>
      <c r="F3" s="12"/>
      <c r="G3" s="12"/>
      <c r="H3" s="12"/>
    </row>
    <row r="4" spans="1:8" x14ac:dyDescent="0.3">
      <c r="A4" t="s">
        <v>112</v>
      </c>
      <c r="B4" s="2">
        <v>0.77419354838709675</v>
      </c>
      <c r="E4" s="12"/>
      <c r="F4" s="12"/>
      <c r="G4" s="12"/>
      <c r="H4" s="12"/>
    </row>
    <row r="5" spans="1:8" x14ac:dyDescent="0.3">
      <c r="A5" t="s">
        <v>113</v>
      </c>
      <c r="B5" s="2">
        <v>0.77419354838709675</v>
      </c>
      <c r="E5" s="12"/>
      <c r="F5" s="12"/>
      <c r="G5" s="12"/>
      <c r="H5" s="12"/>
    </row>
    <row r="6" spans="1:8" x14ac:dyDescent="0.3">
      <c r="A6" t="s">
        <v>114</v>
      </c>
      <c r="B6" s="2">
        <v>0.77419354838709675</v>
      </c>
    </row>
    <row r="7" spans="1:8" x14ac:dyDescent="0.3">
      <c r="A7" t="s">
        <v>32</v>
      </c>
      <c r="B7" s="2">
        <v>0.88709677419354838</v>
      </c>
    </row>
    <row r="8" spans="1:8" x14ac:dyDescent="0.3">
      <c r="A8" t="s">
        <v>33</v>
      </c>
      <c r="B8" s="2">
        <v>0.88709677419354838</v>
      </c>
    </row>
    <row r="9" spans="1:8" x14ac:dyDescent="0.3">
      <c r="A9" t="s">
        <v>34</v>
      </c>
      <c r="B9" s="2">
        <v>0.88709677419354838</v>
      </c>
    </row>
    <row r="10" spans="1:8" x14ac:dyDescent="0.3">
      <c r="A10" t="s">
        <v>63</v>
      </c>
      <c r="B10" s="2">
        <v>0.88709677419354838</v>
      </c>
    </row>
    <row r="11" spans="1:8" x14ac:dyDescent="0.3">
      <c r="A11" t="s">
        <v>64</v>
      </c>
      <c r="B11" s="2">
        <v>0.88709677419354838</v>
      </c>
    </row>
    <row r="12" spans="1:8" x14ac:dyDescent="0.3">
      <c r="A12" t="s">
        <v>65</v>
      </c>
      <c r="B12" s="2">
        <v>0.88709677419354838</v>
      </c>
    </row>
    <row r="13" spans="1:8" x14ac:dyDescent="0.3">
      <c r="A13" t="s">
        <v>66</v>
      </c>
      <c r="B13" s="2">
        <v>0.88709677419354838</v>
      </c>
    </row>
    <row r="14" spans="1:8" x14ac:dyDescent="0.3">
      <c r="A14" t="s">
        <v>46</v>
      </c>
      <c r="B14" s="2">
        <v>0.967741935483871</v>
      </c>
    </row>
    <row r="15" spans="1:8" x14ac:dyDescent="0.3">
      <c r="A15" t="s">
        <v>9</v>
      </c>
      <c r="B15" s="2">
        <v>0.967741935483871</v>
      </c>
    </row>
    <row r="16" spans="1:8" x14ac:dyDescent="0.3">
      <c r="A16" t="s">
        <v>169</v>
      </c>
      <c r="B16" s="2">
        <v>0.967741935483871</v>
      </c>
    </row>
    <row r="17" spans="1:2" x14ac:dyDescent="0.3">
      <c r="A17" t="s">
        <v>145</v>
      </c>
      <c r="B17" s="2">
        <v>0.9838709677419355</v>
      </c>
    </row>
    <row r="18" spans="1:2" x14ac:dyDescent="0.3">
      <c r="A18" t="s">
        <v>10</v>
      </c>
      <c r="B18" s="2">
        <v>1</v>
      </c>
    </row>
    <row r="19" spans="1:2" x14ac:dyDescent="0.3">
      <c r="A19" t="s">
        <v>13</v>
      </c>
      <c r="B19" s="2">
        <v>1</v>
      </c>
    </row>
    <row r="20" spans="1:2" x14ac:dyDescent="0.3">
      <c r="A20" t="s">
        <v>14</v>
      </c>
      <c r="B20" s="2">
        <v>1</v>
      </c>
    </row>
    <row r="21" spans="1:2" x14ac:dyDescent="0.3">
      <c r="A21" t="s">
        <v>15</v>
      </c>
      <c r="B21" s="2">
        <v>1</v>
      </c>
    </row>
    <row r="22" spans="1:2" x14ac:dyDescent="0.3">
      <c r="A22" t="s">
        <v>16</v>
      </c>
      <c r="B22" s="2">
        <v>1</v>
      </c>
    </row>
    <row r="23" spans="1:2" x14ac:dyDescent="0.3">
      <c r="A23" t="s">
        <v>17</v>
      </c>
      <c r="B23" s="2">
        <v>1</v>
      </c>
    </row>
    <row r="24" spans="1:2" x14ac:dyDescent="0.3">
      <c r="A24" t="s">
        <v>19</v>
      </c>
      <c r="B24" s="2">
        <v>1</v>
      </c>
    </row>
    <row r="25" spans="1:2" x14ac:dyDescent="0.3">
      <c r="A25" t="s">
        <v>22</v>
      </c>
      <c r="B25" s="2">
        <v>1</v>
      </c>
    </row>
    <row r="26" spans="1:2" x14ac:dyDescent="0.3">
      <c r="A26" t="s">
        <v>24</v>
      </c>
      <c r="B26" s="2">
        <v>1</v>
      </c>
    </row>
    <row r="27" spans="1:2" x14ac:dyDescent="0.3">
      <c r="A27" t="s">
        <v>25</v>
      </c>
      <c r="B27" s="2">
        <v>1</v>
      </c>
    </row>
    <row r="28" spans="1:2" x14ac:dyDescent="0.3">
      <c r="A28" t="s">
        <v>26</v>
      </c>
      <c r="B28" s="2">
        <v>1</v>
      </c>
    </row>
    <row r="29" spans="1:2" x14ac:dyDescent="0.3">
      <c r="A29" t="s">
        <v>27</v>
      </c>
      <c r="B29" s="2">
        <v>1</v>
      </c>
    </row>
    <row r="30" spans="1:2" x14ac:dyDescent="0.3">
      <c r="A30" t="s">
        <v>28</v>
      </c>
      <c r="B30" s="2">
        <v>1</v>
      </c>
    </row>
    <row r="31" spans="1:2" x14ac:dyDescent="0.3">
      <c r="A31" t="s">
        <v>29</v>
      </c>
      <c r="B31" s="2">
        <v>1</v>
      </c>
    </row>
    <row r="32" spans="1:2" x14ac:dyDescent="0.3">
      <c r="A32" t="s">
        <v>30</v>
      </c>
      <c r="B32" s="2">
        <v>1</v>
      </c>
    </row>
    <row r="33" spans="1:2" x14ac:dyDescent="0.3">
      <c r="A33" t="s">
        <v>35</v>
      </c>
      <c r="B33" s="2">
        <v>1</v>
      </c>
    </row>
    <row r="34" spans="1:2" x14ac:dyDescent="0.3">
      <c r="A34" t="s">
        <v>37</v>
      </c>
      <c r="B34" s="2">
        <v>1</v>
      </c>
    </row>
    <row r="35" spans="1:2" x14ac:dyDescent="0.3">
      <c r="A35" t="s">
        <v>39</v>
      </c>
      <c r="B35" s="2">
        <v>1</v>
      </c>
    </row>
    <row r="36" spans="1:2" x14ac:dyDescent="0.3">
      <c r="A36" t="s">
        <v>40</v>
      </c>
      <c r="B36" s="2">
        <v>1</v>
      </c>
    </row>
    <row r="37" spans="1:2" x14ac:dyDescent="0.3">
      <c r="A37" t="s">
        <v>41</v>
      </c>
      <c r="B37" s="2">
        <v>1</v>
      </c>
    </row>
    <row r="38" spans="1:2" x14ac:dyDescent="0.3">
      <c r="A38" t="s">
        <v>43</v>
      </c>
      <c r="B38" s="2">
        <v>1</v>
      </c>
    </row>
    <row r="39" spans="1:2" x14ac:dyDescent="0.3">
      <c r="A39" t="s">
        <v>44</v>
      </c>
      <c r="B39" s="2">
        <v>1</v>
      </c>
    </row>
    <row r="40" spans="1:2" x14ac:dyDescent="0.3">
      <c r="A40" t="s">
        <v>45</v>
      </c>
      <c r="B40" s="2">
        <v>1</v>
      </c>
    </row>
    <row r="41" spans="1:2" x14ac:dyDescent="0.3">
      <c r="A41" t="s">
        <v>47</v>
      </c>
      <c r="B41" s="2">
        <v>1</v>
      </c>
    </row>
    <row r="42" spans="1:2" x14ac:dyDescent="0.3">
      <c r="A42" t="s">
        <v>48</v>
      </c>
      <c r="B42" s="2">
        <v>1</v>
      </c>
    </row>
    <row r="43" spans="1:2" x14ac:dyDescent="0.3">
      <c r="A43" t="s">
        <v>49</v>
      </c>
      <c r="B43" s="2">
        <v>1</v>
      </c>
    </row>
    <row r="44" spans="1:2" x14ac:dyDescent="0.3">
      <c r="A44" t="s">
        <v>50</v>
      </c>
      <c r="B44" s="2">
        <v>1</v>
      </c>
    </row>
    <row r="45" spans="1:2" x14ac:dyDescent="0.3">
      <c r="A45" t="s">
        <v>51</v>
      </c>
      <c r="B45" s="2">
        <v>1</v>
      </c>
    </row>
    <row r="46" spans="1:2" x14ac:dyDescent="0.3">
      <c r="A46" t="s">
        <v>52</v>
      </c>
      <c r="B46" s="2">
        <v>1</v>
      </c>
    </row>
    <row r="47" spans="1:2" x14ac:dyDescent="0.3">
      <c r="A47" t="s">
        <v>53</v>
      </c>
      <c r="B47" s="2">
        <v>1</v>
      </c>
    </row>
    <row r="48" spans="1:2" x14ac:dyDescent="0.3">
      <c r="A48" t="s">
        <v>55</v>
      </c>
      <c r="B48" s="2">
        <v>1</v>
      </c>
    </row>
    <row r="49" spans="1:2" x14ac:dyDescent="0.3">
      <c r="A49" t="s">
        <v>57</v>
      </c>
      <c r="B49" s="2">
        <v>1</v>
      </c>
    </row>
    <row r="50" spans="1:2" x14ac:dyDescent="0.3">
      <c r="A50" t="s">
        <v>58</v>
      </c>
      <c r="B50" s="2">
        <v>1</v>
      </c>
    </row>
    <row r="51" spans="1:2" x14ac:dyDescent="0.3">
      <c r="A51" t="s">
        <v>59</v>
      </c>
      <c r="B51" s="2">
        <v>1</v>
      </c>
    </row>
    <row r="52" spans="1:2" x14ac:dyDescent="0.3">
      <c r="A52" t="s">
        <v>60</v>
      </c>
      <c r="B52" s="2">
        <v>1</v>
      </c>
    </row>
    <row r="53" spans="1:2" x14ac:dyDescent="0.3">
      <c r="A53" t="s">
        <v>61</v>
      </c>
      <c r="B53" s="2">
        <v>1</v>
      </c>
    </row>
    <row r="54" spans="1:2" x14ac:dyDescent="0.3">
      <c r="A54" t="s">
        <v>62</v>
      </c>
      <c r="B54" s="2">
        <v>1</v>
      </c>
    </row>
    <row r="55" spans="1:2" x14ac:dyDescent="0.3">
      <c r="A55" t="s">
        <v>67</v>
      </c>
      <c r="B55" s="2">
        <v>1</v>
      </c>
    </row>
    <row r="56" spans="1:2" x14ac:dyDescent="0.3">
      <c r="A56" t="s">
        <v>69</v>
      </c>
      <c r="B56" s="2">
        <v>1</v>
      </c>
    </row>
    <row r="57" spans="1:2" x14ac:dyDescent="0.3">
      <c r="A57" t="s">
        <v>71</v>
      </c>
      <c r="B57" s="2">
        <v>1</v>
      </c>
    </row>
    <row r="58" spans="1:2" x14ac:dyDescent="0.3">
      <c r="A58" t="s">
        <v>72</v>
      </c>
      <c r="B58" s="2">
        <v>1</v>
      </c>
    </row>
    <row r="59" spans="1:2" x14ac:dyDescent="0.3">
      <c r="A59" t="s">
        <v>73</v>
      </c>
      <c r="B59" s="2">
        <v>1</v>
      </c>
    </row>
    <row r="60" spans="1:2" x14ac:dyDescent="0.3">
      <c r="A60" t="s">
        <v>74</v>
      </c>
      <c r="B60" s="2">
        <v>1</v>
      </c>
    </row>
    <row r="61" spans="1:2" x14ac:dyDescent="0.3">
      <c r="A61" t="s">
        <v>75</v>
      </c>
      <c r="B61" s="2">
        <v>1</v>
      </c>
    </row>
    <row r="62" spans="1:2" x14ac:dyDescent="0.3">
      <c r="A62" t="s">
        <v>76</v>
      </c>
      <c r="B62" s="2">
        <v>1</v>
      </c>
    </row>
    <row r="63" spans="1:2" x14ac:dyDescent="0.3">
      <c r="A63" t="s">
        <v>77</v>
      </c>
      <c r="B63" s="2">
        <v>1</v>
      </c>
    </row>
    <row r="64" spans="1:2" x14ac:dyDescent="0.3">
      <c r="A64" t="s">
        <v>78</v>
      </c>
      <c r="B64" s="2">
        <v>1</v>
      </c>
    </row>
    <row r="65" spans="1:2" x14ac:dyDescent="0.3">
      <c r="A65" t="s">
        <v>80</v>
      </c>
      <c r="B65" s="2">
        <v>1</v>
      </c>
    </row>
    <row r="66" spans="1:2" x14ac:dyDescent="0.3">
      <c r="A66" t="s">
        <v>82</v>
      </c>
      <c r="B66" s="2">
        <v>1</v>
      </c>
    </row>
    <row r="67" spans="1:2" x14ac:dyDescent="0.3">
      <c r="A67" t="s">
        <v>83</v>
      </c>
      <c r="B67" s="2">
        <v>1</v>
      </c>
    </row>
    <row r="68" spans="1:2" x14ac:dyDescent="0.3">
      <c r="A68" t="s">
        <v>84</v>
      </c>
      <c r="B68" s="2">
        <v>1</v>
      </c>
    </row>
    <row r="69" spans="1:2" x14ac:dyDescent="0.3">
      <c r="A69" t="s">
        <v>85</v>
      </c>
      <c r="B69" s="2">
        <v>1</v>
      </c>
    </row>
    <row r="70" spans="1:2" x14ac:dyDescent="0.3">
      <c r="A70" t="s">
        <v>86</v>
      </c>
      <c r="B70" s="2">
        <v>1</v>
      </c>
    </row>
    <row r="71" spans="1:2" x14ac:dyDescent="0.3">
      <c r="A71" t="s">
        <v>87</v>
      </c>
      <c r="B71" s="2">
        <v>1</v>
      </c>
    </row>
    <row r="72" spans="1:2" x14ac:dyDescent="0.3">
      <c r="A72" t="s">
        <v>88</v>
      </c>
      <c r="B72" s="2">
        <v>1</v>
      </c>
    </row>
    <row r="73" spans="1:2" x14ac:dyDescent="0.3">
      <c r="A73" t="s">
        <v>90</v>
      </c>
      <c r="B73" s="2">
        <v>1</v>
      </c>
    </row>
    <row r="74" spans="1:2" x14ac:dyDescent="0.3">
      <c r="A74" t="s">
        <v>92</v>
      </c>
      <c r="B74" s="2">
        <v>1</v>
      </c>
    </row>
    <row r="75" spans="1:2" x14ac:dyDescent="0.3">
      <c r="A75" t="s">
        <v>93</v>
      </c>
      <c r="B75" s="2">
        <v>1</v>
      </c>
    </row>
    <row r="76" spans="1:2" x14ac:dyDescent="0.3">
      <c r="A76" t="s">
        <v>95</v>
      </c>
      <c r="B76" s="2">
        <v>1</v>
      </c>
    </row>
    <row r="77" spans="1:2" x14ac:dyDescent="0.3">
      <c r="A77" t="s">
        <v>96</v>
      </c>
      <c r="B77" s="2">
        <v>1</v>
      </c>
    </row>
    <row r="78" spans="1:2" x14ac:dyDescent="0.3">
      <c r="A78" t="s">
        <v>97</v>
      </c>
      <c r="B78" s="2">
        <v>1</v>
      </c>
    </row>
    <row r="79" spans="1:2" x14ac:dyDescent="0.3">
      <c r="A79" t="s">
        <v>98</v>
      </c>
      <c r="B79" s="2">
        <v>1</v>
      </c>
    </row>
    <row r="80" spans="1:2" x14ac:dyDescent="0.3">
      <c r="A80" t="s">
        <v>99</v>
      </c>
      <c r="B80" s="2">
        <v>1</v>
      </c>
    </row>
    <row r="81" spans="1:2" x14ac:dyDescent="0.3">
      <c r="A81" t="s">
        <v>100</v>
      </c>
      <c r="B81" s="2">
        <v>1</v>
      </c>
    </row>
    <row r="82" spans="1:2" x14ac:dyDescent="0.3">
      <c r="A82" t="s">
        <v>101</v>
      </c>
      <c r="B82" s="2">
        <v>1</v>
      </c>
    </row>
    <row r="83" spans="1:2" x14ac:dyDescent="0.3">
      <c r="A83" t="s">
        <v>103</v>
      </c>
      <c r="B83" s="2">
        <v>1</v>
      </c>
    </row>
    <row r="84" spans="1:2" x14ac:dyDescent="0.3">
      <c r="A84" t="s">
        <v>105</v>
      </c>
      <c r="B84" s="2">
        <v>1</v>
      </c>
    </row>
    <row r="85" spans="1:2" x14ac:dyDescent="0.3">
      <c r="A85" t="s">
        <v>106</v>
      </c>
      <c r="B85" s="2">
        <v>1</v>
      </c>
    </row>
    <row r="86" spans="1:2" x14ac:dyDescent="0.3">
      <c r="A86" t="s">
        <v>107</v>
      </c>
      <c r="B86" s="2">
        <v>1</v>
      </c>
    </row>
    <row r="87" spans="1:2" x14ac:dyDescent="0.3">
      <c r="A87" t="s">
        <v>108</v>
      </c>
      <c r="B87" s="2">
        <v>1</v>
      </c>
    </row>
    <row r="88" spans="1:2" x14ac:dyDescent="0.3">
      <c r="A88" t="s">
        <v>109</v>
      </c>
      <c r="B88" s="2">
        <v>1</v>
      </c>
    </row>
    <row r="89" spans="1:2" x14ac:dyDescent="0.3">
      <c r="A89" t="s">
        <v>110</v>
      </c>
      <c r="B89" s="2">
        <v>1</v>
      </c>
    </row>
    <row r="90" spans="1:2" x14ac:dyDescent="0.3">
      <c r="A90" t="s">
        <v>115</v>
      </c>
      <c r="B90" s="2">
        <v>1</v>
      </c>
    </row>
    <row r="91" spans="1:2" x14ac:dyDescent="0.3">
      <c r="A91" t="s">
        <v>117</v>
      </c>
      <c r="B91" s="2">
        <v>1</v>
      </c>
    </row>
    <row r="92" spans="1:2" x14ac:dyDescent="0.3">
      <c r="A92" t="s">
        <v>119</v>
      </c>
      <c r="B92" s="2">
        <v>1</v>
      </c>
    </row>
    <row r="93" spans="1:2" x14ac:dyDescent="0.3">
      <c r="A93" t="s">
        <v>120</v>
      </c>
      <c r="B93" s="2">
        <v>1</v>
      </c>
    </row>
    <row r="94" spans="1:2" x14ac:dyDescent="0.3">
      <c r="A94" t="s">
        <v>121</v>
      </c>
      <c r="B94" s="2">
        <v>1</v>
      </c>
    </row>
    <row r="95" spans="1:2" x14ac:dyDescent="0.3">
      <c r="A95" t="s">
        <v>122</v>
      </c>
      <c r="B95" s="2">
        <v>1</v>
      </c>
    </row>
    <row r="96" spans="1:2" x14ac:dyDescent="0.3">
      <c r="A96" t="s">
        <v>123</v>
      </c>
      <c r="B96" s="2">
        <v>1</v>
      </c>
    </row>
    <row r="97" spans="1:2" x14ac:dyDescent="0.3">
      <c r="A97" t="s">
        <v>124</v>
      </c>
      <c r="B97" s="2">
        <v>1</v>
      </c>
    </row>
    <row r="98" spans="1:2" x14ac:dyDescent="0.3">
      <c r="A98" t="s">
        <v>125</v>
      </c>
      <c r="B98" s="2">
        <v>1</v>
      </c>
    </row>
    <row r="99" spans="1:2" x14ac:dyDescent="0.3">
      <c r="A99" t="s">
        <v>126</v>
      </c>
      <c r="B99" s="2">
        <v>1</v>
      </c>
    </row>
    <row r="100" spans="1:2" x14ac:dyDescent="0.3">
      <c r="A100" t="s">
        <v>127</v>
      </c>
      <c r="B100" s="2">
        <v>1</v>
      </c>
    </row>
    <row r="101" spans="1:2" x14ac:dyDescent="0.3">
      <c r="A101" t="s">
        <v>129</v>
      </c>
      <c r="B101" s="2">
        <v>1</v>
      </c>
    </row>
    <row r="102" spans="1:2" x14ac:dyDescent="0.3">
      <c r="A102" t="s">
        <v>131</v>
      </c>
      <c r="B102" s="2">
        <v>1</v>
      </c>
    </row>
    <row r="103" spans="1:2" x14ac:dyDescent="0.3">
      <c r="A103" t="s">
        <v>133</v>
      </c>
      <c r="B103" s="2">
        <v>1</v>
      </c>
    </row>
    <row r="104" spans="1:2" x14ac:dyDescent="0.3">
      <c r="A104" t="s">
        <v>8</v>
      </c>
      <c r="B104" s="2">
        <v>1</v>
      </c>
    </row>
    <row r="105" spans="1:2" x14ac:dyDescent="0.3">
      <c r="A105" t="s">
        <v>134</v>
      </c>
      <c r="B105" s="2">
        <v>1</v>
      </c>
    </row>
    <row r="106" spans="1:2" x14ac:dyDescent="0.3">
      <c r="A106" t="s">
        <v>135</v>
      </c>
      <c r="B106" s="2">
        <v>1</v>
      </c>
    </row>
    <row r="107" spans="1:2" x14ac:dyDescent="0.3">
      <c r="A107" t="s">
        <v>136</v>
      </c>
      <c r="B107" s="2">
        <v>1</v>
      </c>
    </row>
    <row r="108" spans="1:2" x14ac:dyDescent="0.3">
      <c r="A108" t="s">
        <v>137</v>
      </c>
      <c r="B108" s="2">
        <v>1</v>
      </c>
    </row>
    <row r="109" spans="1:2" x14ac:dyDescent="0.3">
      <c r="A109" t="s">
        <v>138</v>
      </c>
      <c r="B109" s="2">
        <v>1</v>
      </c>
    </row>
    <row r="110" spans="1:2" x14ac:dyDescent="0.3">
      <c r="A110" t="s">
        <v>139</v>
      </c>
      <c r="B110" s="2">
        <v>1</v>
      </c>
    </row>
    <row r="111" spans="1:2" x14ac:dyDescent="0.3">
      <c r="A111" t="s">
        <v>140</v>
      </c>
      <c r="B111" s="2">
        <v>1</v>
      </c>
    </row>
    <row r="112" spans="1:2" x14ac:dyDescent="0.3">
      <c r="A112" t="s">
        <v>141</v>
      </c>
      <c r="B112" s="2">
        <v>1</v>
      </c>
    </row>
    <row r="113" spans="1:2" x14ac:dyDescent="0.3">
      <c r="A113" t="s">
        <v>143</v>
      </c>
      <c r="B113" s="2">
        <v>1</v>
      </c>
    </row>
    <row r="114" spans="1:2" x14ac:dyDescent="0.3">
      <c r="A114" t="s">
        <v>146</v>
      </c>
      <c r="B114" s="2">
        <v>1</v>
      </c>
    </row>
    <row r="115" spans="1:2" x14ac:dyDescent="0.3">
      <c r="A115" t="s">
        <v>147</v>
      </c>
      <c r="B115" s="2">
        <v>1</v>
      </c>
    </row>
    <row r="116" spans="1:2" x14ac:dyDescent="0.3">
      <c r="A116" t="s">
        <v>148</v>
      </c>
      <c r="B116" s="2">
        <v>1</v>
      </c>
    </row>
    <row r="117" spans="1:2" x14ac:dyDescent="0.3">
      <c r="A117" t="s">
        <v>149</v>
      </c>
      <c r="B117" s="2">
        <v>1</v>
      </c>
    </row>
    <row r="118" spans="1:2" x14ac:dyDescent="0.3">
      <c r="A118" t="s">
        <v>150</v>
      </c>
      <c r="B118" s="2">
        <v>1</v>
      </c>
    </row>
    <row r="119" spans="1:2" x14ac:dyDescent="0.3">
      <c r="A119" t="s">
        <v>151</v>
      </c>
      <c r="B119" s="2">
        <v>1</v>
      </c>
    </row>
    <row r="120" spans="1:2" x14ac:dyDescent="0.3">
      <c r="A120" t="s">
        <v>153</v>
      </c>
      <c r="B120" s="2">
        <v>1</v>
      </c>
    </row>
    <row r="121" spans="1:2" x14ac:dyDescent="0.3">
      <c r="A121" t="s">
        <v>155</v>
      </c>
      <c r="B121" s="2">
        <v>1</v>
      </c>
    </row>
    <row r="122" spans="1:2" x14ac:dyDescent="0.3">
      <c r="A122" t="s">
        <v>156</v>
      </c>
      <c r="B122" s="2">
        <v>1</v>
      </c>
    </row>
    <row r="123" spans="1:2" x14ac:dyDescent="0.3">
      <c r="A123" t="s">
        <v>157</v>
      </c>
      <c r="B123" s="2">
        <v>1</v>
      </c>
    </row>
    <row r="124" spans="1:2" x14ac:dyDescent="0.3">
      <c r="A124" t="s">
        <v>158</v>
      </c>
      <c r="B124" s="2">
        <v>1</v>
      </c>
    </row>
    <row r="125" spans="1:2" x14ac:dyDescent="0.3">
      <c r="A125" t="s">
        <v>159</v>
      </c>
      <c r="B125" s="2">
        <v>1</v>
      </c>
    </row>
    <row r="126" spans="1:2" x14ac:dyDescent="0.3">
      <c r="A126" t="s">
        <v>160</v>
      </c>
      <c r="B126" s="2">
        <v>1</v>
      </c>
    </row>
    <row r="127" spans="1:2" x14ac:dyDescent="0.3">
      <c r="A127" t="s">
        <v>161</v>
      </c>
      <c r="B127" s="2">
        <v>1</v>
      </c>
    </row>
    <row r="128" spans="1:2" x14ac:dyDescent="0.3">
      <c r="A128" t="s">
        <v>163</v>
      </c>
      <c r="B128" s="2">
        <v>1</v>
      </c>
    </row>
  </sheetData>
  <mergeCells count="1">
    <mergeCell ref="E3:H5"/>
  </mergeCell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513DC-8549-4B32-A261-321C6CD89D68}">
  <dimension ref="A3:AE37"/>
  <sheetViews>
    <sheetView tabSelected="1" topLeftCell="X1" workbookViewId="0">
      <selection activeCell="Z5" sqref="Z5"/>
    </sheetView>
  </sheetViews>
  <sheetFormatPr baseColWidth="10" defaultRowHeight="14.4" x14ac:dyDescent="0.3"/>
  <cols>
    <col min="1" max="2" width="22.109375" bestFit="1" customWidth="1"/>
    <col min="3" max="3" width="10.109375" bestFit="1" customWidth="1"/>
    <col min="4" max="4" width="14.6640625" bestFit="1" customWidth="1"/>
    <col min="5" max="5" width="21" bestFit="1" customWidth="1"/>
    <col min="6" max="7" width="9.109375" bestFit="1" customWidth="1"/>
    <col min="8" max="8" width="15.5546875" customWidth="1"/>
    <col min="9" max="9" width="19.109375" bestFit="1" customWidth="1"/>
    <col min="10" max="10" width="6.6640625" bestFit="1" customWidth="1"/>
    <col min="11" max="11" width="8.5546875" bestFit="1" customWidth="1"/>
    <col min="13" max="13" width="7.109375" customWidth="1"/>
    <col min="14" max="14" width="6.6640625" bestFit="1" customWidth="1"/>
    <col min="15" max="15" width="8.5546875" bestFit="1" customWidth="1"/>
    <col min="16" max="16" width="16.109375" customWidth="1"/>
    <col min="17" max="17" width="7.6640625" customWidth="1"/>
    <col min="18" max="18" width="6.6640625" bestFit="1" customWidth="1"/>
    <col min="19" max="19" width="8.5546875" bestFit="1" customWidth="1"/>
    <col min="20" max="20" width="11.21875" customWidth="1"/>
    <col min="21" max="21" width="14.5546875" customWidth="1"/>
    <col min="22" max="22" width="22.109375" bestFit="1" customWidth="1"/>
    <col min="23" max="23" width="8.5546875" bestFit="1" customWidth="1"/>
    <col min="24" max="24" width="13.88671875" customWidth="1"/>
    <col min="25" max="25" width="20.77734375" bestFit="1" customWidth="1"/>
    <col min="26" max="26" width="29.21875" bestFit="1" customWidth="1"/>
    <col min="27" max="27" width="8.5546875" bestFit="1" customWidth="1"/>
    <col min="28" max="28" width="31.6640625" bestFit="1" customWidth="1"/>
    <col min="29" max="29" width="8.5546875" bestFit="1" customWidth="1"/>
    <col min="30" max="30" width="29.109375" bestFit="1" customWidth="1"/>
    <col min="31" max="31" width="8.5546875" bestFit="1" customWidth="1"/>
    <col min="32" max="32" width="32.6640625" bestFit="1" customWidth="1"/>
    <col min="33" max="33" width="44.5546875" bestFit="1" customWidth="1"/>
    <col min="34" max="34" width="43.5546875" bestFit="1" customWidth="1"/>
    <col min="35" max="35" width="40.21875" bestFit="1" customWidth="1"/>
    <col min="36" max="36" width="34.6640625" bestFit="1" customWidth="1"/>
    <col min="37" max="37" width="34.5546875" bestFit="1" customWidth="1"/>
    <col min="38" max="38" width="36.33203125" bestFit="1" customWidth="1"/>
    <col min="39" max="39" width="34.109375" bestFit="1" customWidth="1"/>
    <col min="40" max="40" width="39" bestFit="1" customWidth="1"/>
    <col min="41" max="41" width="33.33203125" bestFit="1" customWidth="1"/>
    <col min="42" max="42" width="35.21875" bestFit="1" customWidth="1"/>
    <col min="43" max="43" width="40.109375" bestFit="1" customWidth="1"/>
    <col min="44" max="44" width="36.88671875" bestFit="1" customWidth="1"/>
    <col min="45" max="45" width="32.6640625" bestFit="1" customWidth="1"/>
    <col min="46" max="46" width="44.5546875" bestFit="1" customWidth="1"/>
    <col min="47" max="47" width="43.5546875" bestFit="1" customWidth="1"/>
    <col min="48" max="48" width="40.21875" bestFit="1" customWidth="1"/>
    <col min="49" max="49" width="34.6640625" bestFit="1" customWidth="1"/>
    <col min="50" max="50" width="34.5546875" bestFit="1" customWidth="1"/>
    <col min="51" max="51" width="25.6640625" bestFit="1" customWidth="1"/>
    <col min="52" max="52" width="28.77734375" bestFit="1" customWidth="1"/>
    <col min="53" max="53" width="26.5546875" bestFit="1" customWidth="1"/>
    <col min="54" max="54" width="31.44140625" bestFit="1" customWidth="1"/>
    <col min="55" max="55" width="25.6640625" bestFit="1" customWidth="1"/>
    <col min="56" max="56" width="28.77734375" bestFit="1" customWidth="1"/>
    <col min="57" max="57" width="26.5546875" bestFit="1" customWidth="1"/>
    <col min="58" max="58" width="31.44140625" bestFit="1" customWidth="1"/>
    <col min="59" max="59" width="25.6640625" bestFit="1" customWidth="1"/>
    <col min="60" max="60" width="28.77734375" bestFit="1" customWidth="1"/>
    <col min="61" max="61" width="26.5546875" bestFit="1" customWidth="1"/>
    <col min="62" max="62" width="31.44140625" bestFit="1" customWidth="1"/>
    <col min="63" max="63" width="25.6640625" bestFit="1" customWidth="1"/>
    <col min="64" max="64" width="28.77734375" bestFit="1" customWidth="1"/>
    <col min="65" max="65" width="26.5546875" bestFit="1" customWidth="1"/>
    <col min="66" max="66" width="31.44140625" bestFit="1" customWidth="1"/>
    <col min="67" max="67" width="25.6640625" bestFit="1" customWidth="1"/>
    <col min="68" max="68" width="28.77734375" bestFit="1" customWidth="1"/>
    <col min="69" max="69" width="26.5546875" bestFit="1" customWidth="1"/>
    <col min="70" max="70" width="31.44140625" bestFit="1" customWidth="1"/>
    <col min="71" max="71" width="25.6640625" bestFit="1" customWidth="1"/>
    <col min="72" max="72" width="28.77734375" bestFit="1" customWidth="1"/>
    <col min="73" max="73" width="26.5546875" bestFit="1" customWidth="1"/>
    <col min="74" max="74" width="31.44140625" bestFit="1" customWidth="1"/>
    <col min="75" max="75" width="25.6640625" bestFit="1" customWidth="1"/>
    <col min="76" max="76" width="28.77734375" bestFit="1" customWidth="1"/>
    <col min="77" max="77" width="26.5546875" bestFit="1" customWidth="1"/>
    <col min="78" max="78" width="31.44140625" bestFit="1" customWidth="1"/>
    <col min="79" max="79" width="25.6640625" bestFit="1" customWidth="1"/>
    <col min="80" max="80" width="28.77734375" bestFit="1" customWidth="1"/>
    <col min="81" max="81" width="26.5546875" bestFit="1" customWidth="1"/>
    <col min="82" max="82" width="31.44140625" bestFit="1" customWidth="1"/>
    <col min="83" max="83" width="25.6640625" bestFit="1" customWidth="1"/>
    <col min="84" max="84" width="28.77734375" bestFit="1" customWidth="1"/>
    <col min="85" max="85" width="26.5546875" bestFit="1" customWidth="1"/>
    <col min="86" max="86" width="31.44140625" bestFit="1" customWidth="1"/>
    <col min="87" max="87" width="25.6640625" bestFit="1" customWidth="1"/>
    <col min="88" max="88" width="28.77734375" bestFit="1" customWidth="1"/>
    <col min="89" max="89" width="26.5546875" bestFit="1" customWidth="1"/>
    <col min="90" max="90" width="31.44140625" bestFit="1" customWidth="1"/>
    <col min="91" max="91" width="25.6640625" bestFit="1" customWidth="1"/>
    <col min="92" max="92" width="28.77734375" bestFit="1" customWidth="1"/>
    <col min="93" max="93" width="26.5546875" bestFit="1" customWidth="1"/>
    <col min="94" max="94" width="31.44140625" bestFit="1" customWidth="1"/>
    <col min="95" max="95" width="25.6640625" bestFit="1" customWidth="1"/>
    <col min="96" max="96" width="28.77734375" bestFit="1" customWidth="1"/>
    <col min="97" max="97" width="26.5546875" bestFit="1" customWidth="1"/>
    <col min="98" max="98" width="31.44140625" bestFit="1" customWidth="1"/>
    <col min="99" max="99" width="25.6640625" bestFit="1" customWidth="1"/>
    <col min="100" max="100" width="28.77734375" bestFit="1" customWidth="1"/>
    <col min="101" max="101" width="26.5546875" bestFit="1" customWidth="1"/>
    <col min="102" max="102" width="31.44140625" bestFit="1" customWidth="1"/>
    <col min="103" max="103" width="25.6640625" bestFit="1" customWidth="1"/>
    <col min="104" max="104" width="28.77734375" bestFit="1" customWidth="1"/>
    <col min="105" max="105" width="26.5546875" bestFit="1" customWidth="1"/>
    <col min="106" max="106" width="31.44140625" bestFit="1" customWidth="1"/>
    <col min="107" max="107" width="25.6640625" bestFit="1" customWidth="1"/>
    <col min="108" max="108" width="28.77734375" bestFit="1" customWidth="1"/>
    <col min="109" max="109" width="26.5546875" bestFit="1" customWidth="1"/>
    <col min="110" max="110" width="31.44140625" bestFit="1" customWidth="1"/>
    <col min="111" max="111" width="25.6640625" bestFit="1" customWidth="1"/>
    <col min="112" max="112" width="28.77734375" bestFit="1" customWidth="1"/>
    <col min="113" max="113" width="26.5546875" bestFit="1" customWidth="1"/>
    <col min="114" max="114" width="31.44140625" bestFit="1" customWidth="1"/>
    <col min="115" max="115" width="25.6640625" bestFit="1" customWidth="1"/>
    <col min="116" max="116" width="28.77734375" bestFit="1" customWidth="1"/>
    <col min="117" max="117" width="26.5546875" bestFit="1" customWidth="1"/>
    <col min="118" max="118" width="31.44140625" bestFit="1" customWidth="1"/>
    <col min="119" max="119" width="25.6640625" bestFit="1" customWidth="1"/>
    <col min="120" max="120" width="28.77734375" bestFit="1" customWidth="1"/>
    <col min="121" max="121" width="26.5546875" bestFit="1" customWidth="1"/>
    <col min="122" max="122" width="31.44140625" bestFit="1" customWidth="1"/>
    <col min="123" max="123" width="25.6640625" bestFit="1" customWidth="1"/>
    <col min="124" max="124" width="28.77734375" bestFit="1" customWidth="1"/>
    <col min="125" max="125" width="26.5546875" bestFit="1" customWidth="1"/>
    <col min="126" max="126" width="31.44140625" bestFit="1" customWidth="1"/>
    <col min="127" max="127" width="25.6640625" bestFit="1" customWidth="1"/>
    <col min="128" max="128" width="28.77734375" bestFit="1" customWidth="1"/>
    <col min="129" max="129" width="26.5546875" bestFit="1" customWidth="1"/>
    <col min="130" max="130" width="31.44140625" bestFit="1" customWidth="1"/>
    <col min="131" max="131" width="25.6640625" bestFit="1" customWidth="1"/>
    <col min="132" max="132" width="28.77734375" bestFit="1" customWidth="1"/>
    <col min="133" max="133" width="26.5546875" bestFit="1" customWidth="1"/>
    <col min="134" max="134" width="31.44140625" bestFit="1" customWidth="1"/>
    <col min="135" max="135" width="25.6640625" bestFit="1" customWidth="1"/>
    <col min="136" max="136" width="36.33203125" bestFit="1" customWidth="1"/>
    <col min="137" max="137" width="34.109375" bestFit="1" customWidth="1"/>
    <col min="138" max="138" width="39" bestFit="1" customWidth="1"/>
    <col min="139" max="139" width="33.33203125" bestFit="1" customWidth="1"/>
  </cols>
  <sheetData>
    <row r="3" spans="1:31" x14ac:dyDescent="0.3">
      <c r="A3" s="3" t="s">
        <v>176</v>
      </c>
      <c r="B3" s="3" t="s">
        <v>175</v>
      </c>
      <c r="E3" s="3" t="s">
        <v>178</v>
      </c>
      <c r="F3" s="3" t="s">
        <v>5</v>
      </c>
      <c r="I3" s="3" t="s">
        <v>179</v>
      </c>
      <c r="J3" s="3" t="s">
        <v>5</v>
      </c>
      <c r="M3" s="3" t="s">
        <v>191</v>
      </c>
      <c r="N3" s="3" t="s">
        <v>5</v>
      </c>
      <c r="Q3" s="3" t="s">
        <v>190</v>
      </c>
      <c r="R3" s="3" t="s">
        <v>5</v>
      </c>
      <c r="U3" s="3" t="s">
        <v>193</v>
      </c>
      <c r="V3" s="3" t="s">
        <v>175</v>
      </c>
      <c r="Z3" s="3" t="s">
        <v>175</v>
      </c>
    </row>
    <row r="4" spans="1:31" x14ac:dyDescent="0.3">
      <c r="A4" s="3" t="s">
        <v>177</v>
      </c>
      <c r="B4" t="s">
        <v>166</v>
      </c>
      <c r="C4" t="s">
        <v>165</v>
      </c>
      <c r="E4" s="3" t="s">
        <v>177</v>
      </c>
      <c r="F4" t="s">
        <v>166</v>
      </c>
      <c r="G4" t="s">
        <v>165</v>
      </c>
      <c r="I4" s="3" t="s">
        <v>177</v>
      </c>
      <c r="J4" t="s">
        <v>166</v>
      </c>
      <c r="K4" t="s">
        <v>165</v>
      </c>
      <c r="M4" s="3" t="s">
        <v>177</v>
      </c>
      <c r="N4" t="s">
        <v>166</v>
      </c>
      <c r="O4" t="s">
        <v>165</v>
      </c>
      <c r="Q4" s="3" t="s">
        <v>177</v>
      </c>
      <c r="R4" t="s">
        <v>166</v>
      </c>
      <c r="S4" t="s">
        <v>165</v>
      </c>
      <c r="U4" s="3" t="s">
        <v>184</v>
      </c>
      <c r="V4" t="s">
        <v>166</v>
      </c>
      <c r="W4" t="s">
        <v>165</v>
      </c>
      <c r="Z4" t="s">
        <v>189</v>
      </c>
      <c r="AB4" t="s">
        <v>194</v>
      </c>
      <c r="AD4" t="s">
        <v>192</v>
      </c>
    </row>
    <row r="5" spans="1:31" x14ac:dyDescent="0.3">
      <c r="A5" s="4">
        <v>1993</v>
      </c>
      <c r="B5" s="1">
        <v>1671995.850752</v>
      </c>
      <c r="C5" s="1">
        <v>2206290.9358080002</v>
      </c>
      <c r="E5" s="4">
        <v>1993</v>
      </c>
      <c r="F5" s="1">
        <v>50021.061999999998</v>
      </c>
      <c r="G5" s="1">
        <v>49538.949000000001</v>
      </c>
      <c r="I5" s="4">
        <v>1993</v>
      </c>
      <c r="J5" s="10">
        <v>1.7070000000000001</v>
      </c>
      <c r="K5" s="10">
        <v>1.8089999999999999</v>
      </c>
      <c r="M5" s="4">
        <v>1993</v>
      </c>
      <c r="N5" s="20">
        <v>0.43564999999999998</v>
      </c>
      <c r="O5" s="20">
        <v>0.12496</v>
      </c>
      <c r="Q5" s="4">
        <v>1993</v>
      </c>
      <c r="R5" s="20">
        <v>0.92605999999999999</v>
      </c>
      <c r="S5" s="20">
        <v>0.33377000000000001</v>
      </c>
      <c r="U5" s="4">
        <v>1993</v>
      </c>
      <c r="V5" s="1">
        <v>32.18</v>
      </c>
      <c r="W5" s="1">
        <v>316.47000000000003</v>
      </c>
      <c r="Y5" s="3" t="s">
        <v>184</v>
      </c>
      <c r="Z5" t="s">
        <v>166</v>
      </c>
      <c r="AA5" t="s">
        <v>165</v>
      </c>
      <c r="AB5" t="s">
        <v>166</v>
      </c>
      <c r="AC5" t="s">
        <v>165</v>
      </c>
      <c r="AD5" t="s">
        <v>166</v>
      </c>
      <c r="AE5" t="s">
        <v>165</v>
      </c>
    </row>
    <row r="6" spans="1:31" x14ac:dyDescent="0.3">
      <c r="A6" s="4">
        <v>1994</v>
      </c>
      <c r="B6" s="1">
        <v>1712086.4501759999</v>
      </c>
      <c r="C6" s="1">
        <v>2283952.9308159999</v>
      </c>
      <c r="E6" s="4">
        <v>1994</v>
      </c>
      <c r="F6" s="1">
        <v>49357.964999999997</v>
      </c>
      <c r="G6" s="1">
        <v>48888.086000000003</v>
      </c>
      <c r="I6" s="4">
        <v>1994</v>
      </c>
      <c r="J6" s="10">
        <v>1.65</v>
      </c>
      <c r="K6" s="10">
        <v>1.7310000000000001</v>
      </c>
      <c r="M6" s="4">
        <v>1994</v>
      </c>
      <c r="N6" s="20">
        <v>0.44691999999999998</v>
      </c>
      <c r="O6" s="20">
        <v>0.12590000000000001</v>
      </c>
      <c r="Q6" s="4">
        <v>1994</v>
      </c>
      <c r="R6" s="20">
        <v>0.92879</v>
      </c>
      <c r="S6" s="20">
        <v>0.33418999999999999</v>
      </c>
      <c r="U6" s="4">
        <v>1994</v>
      </c>
      <c r="V6" s="1">
        <v>31.81</v>
      </c>
      <c r="W6" s="1">
        <v>314.86</v>
      </c>
      <c r="Y6" s="4">
        <v>1993</v>
      </c>
      <c r="Z6" s="21">
        <v>1044.739</v>
      </c>
      <c r="AA6" s="21">
        <v>435.55900000000003</v>
      </c>
      <c r="AB6" s="18">
        <v>6453</v>
      </c>
      <c r="AC6" s="18">
        <v>1902</v>
      </c>
      <c r="AD6" s="20">
        <v>0.36607999999999996</v>
      </c>
      <c r="AE6" s="20">
        <v>0.10912000000000001</v>
      </c>
    </row>
    <row r="7" spans="1:31" x14ac:dyDescent="0.3">
      <c r="A7" s="4">
        <v>1995</v>
      </c>
      <c r="B7" s="1">
        <v>1748659.6014080001</v>
      </c>
      <c r="C7" s="1">
        <v>2347761.1397119998</v>
      </c>
      <c r="E7" s="4">
        <v>1995</v>
      </c>
      <c r="F7" s="1">
        <v>50577.843999999997</v>
      </c>
      <c r="G7" s="1">
        <v>48996.98</v>
      </c>
      <c r="I7" s="4">
        <v>1995</v>
      </c>
      <c r="J7" s="10">
        <v>1.661</v>
      </c>
      <c r="K7" s="10">
        <v>1.6930000000000001</v>
      </c>
      <c r="M7" s="4">
        <v>1995</v>
      </c>
      <c r="N7" s="20">
        <v>0.44618000000000002</v>
      </c>
      <c r="O7" s="20">
        <v>0.12890000000000001</v>
      </c>
      <c r="Q7" s="4">
        <v>1995</v>
      </c>
      <c r="R7" s="20">
        <v>0.92129000000000005</v>
      </c>
      <c r="S7" s="20">
        <v>0.33729999999999999</v>
      </c>
      <c r="U7" s="4">
        <v>1995</v>
      </c>
      <c r="V7" s="1">
        <v>35.950000000000003</v>
      </c>
      <c r="W7" s="1">
        <v>316.49</v>
      </c>
      <c r="Y7" s="4">
        <v>1994</v>
      </c>
      <c r="Z7" s="21">
        <v>1021.451</v>
      </c>
      <c r="AA7" s="21">
        <v>429.03199999999998</v>
      </c>
      <c r="AB7" s="18">
        <v>6290</v>
      </c>
      <c r="AC7" s="18">
        <v>1863</v>
      </c>
      <c r="AD7" s="20">
        <v>0.36160999999999999</v>
      </c>
      <c r="AE7" s="20">
        <v>0.1085</v>
      </c>
    </row>
    <row r="8" spans="1:31" x14ac:dyDescent="0.3">
      <c r="A8" s="4">
        <v>1996</v>
      </c>
      <c r="B8" s="1">
        <v>1773843.1201279999</v>
      </c>
      <c r="C8" s="1">
        <v>2391519.7890559998</v>
      </c>
      <c r="E8" s="4">
        <v>1996</v>
      </c>
      <c r="F8" s="1">
        <v>52276.671999999999</v>
      </c>
      <c r="G8" s="1">
        <v>50501.870999999999</v>
      </c>
      <c r="I8" s="4">
        <v>1996</v>
      </c>
      <c r="J8" s="10">
        <v>1.698</v>
      </c>
      <c r="K8" s="10">
        <v>1.7170000000000001</v>
      </c>
      <c r="M8" s="4">
        <v>1996</v>
      </c>
      <c r="N8" s="20">
        <v>0.44255</v>
      </c>
      <c r="O8" s="20">
        <v>0.12851000000000001</v>
      </c>
      <c r="Q8" s="4">
        <v>1996</v>
      </c>
      <c r="R8" s="20">
        <v>0.91462999999999994</v>
      </c>
      <c r="S8" s="20">
        <v>0.34031</v>
      </c>
      <c r="U8" s="4">
        <v>1996</v>
      </c>
      <c r="V8" s="1">
        <v>40.229999999999997</v>
      </c>
      <c r="W8" s="1">
        <v>324.17</v>
      </c>
      <c r="Y8" s="4">
        <v>1995</v>
      </c>
      <c r="Z8" s="21">
        <v>1070.3989999999999</v>
      </c>
      <c r="AA8" s="21">
        <v>437.26100000000002</v>
      </c>
      <c r="AB8" s="18">
        <v>6570</v>
      </c>
      <c r="AC8" s="18">
        <v>1887</v>
      </c>
      <c r="AD8" s="20">
        <v>0.36857000000000001</v>
      </c>
      <c r="AE8" s="20">
        <v>0.11001</v>
      </c>
    </row>
    <row r="9" spans="1:31" x14ac:dyDescent="0.3">
      <c r="A9" s="4">
        <v>1997</v>
      </c>
      <c r="B9" s="1">
        <v>1816394.8584960001</v>
      </c>
      <c r="C9" s="1">
        <v>2461046.1450240002</v>
      </c>
      <c r="E9" s="4">
        <v>1997</v>
      </c>
      <c r="F9" s="1">
        <v>51274.413999999997</v>
      </c>
      <c r="G9" s="1">
        <v>49771.383000000002</v>
      </c>
      <c r="I9" s="4">
        <v>1997</v>
      </c>
      <c r="J9" s="10">
        <v>1.633</v>
      </c>
      <c r="K9" s="10">
        <v>1.647</v>
      </c>
      <c r="M9" s="4">
        <v>1997</v>
      </c>
      <c r="N9" s="20">
        <v>0.44601000000000002</v>
      </c>
      <c r="O9" s="20">
        <v>0.13727999999999999</v>
      </c>
      <c r="Q9" s="4">
        <v>1997</v>
      </c>
      <c r="R9" s="20">
        <v>0.92181000000000002</v>
      </c>
      <c r="S9" s="20">
        <v>0.35393999999999998</v>
      </c>
      <c r="U9" s="4">
        <v>1997</v>
      </c>
      <c r="V9" s="1">
        <v>35.380000000000003</v>
      </c>
      <c r="W9" s="1">
        <v>314.31</v>
      </c>
      <c r="Y9" s="4">
        <v>1996</v>
      </c>
      <c r="Z9" s="21">
        <v>1127.4580000000001</v>
      </c>
      <c r="AA9" s="21">
        <v>458.57900000000001</v>
      </c>
      <c r="AB9" s="18">
        <v>6895</v>
      </c>
      <c r="AC9" s="18">
        <v>1968</v>
      </c>
      <c r="AD9" s="20">
        <v>0.37427999999999995</v>
      </c>
      <c r="AE9" s="20">
        <v>0.11169000000000001</v>
      </c>
    </row>
    <row r="10" spans="1:31" x14ac:dyDescent="0.3">
      <c r="A10" s="4">
        <v>1998</v>
      </c>
      <c r="B10" s="1">
        <v>1882050.2650880001</v>
      </c>
      <c r="C10" s="1">
        <v>2535903.72352</v>
      </c>
      <c r="E10" s="4">
        <v>1998</v>
      </c>
      <c r="F10" s="1">
        <v>52293.457000000002</v>
      </c>
      <c r="G10" s="1">
        <v>49305.879000000001</v>
      </c>
      <c r="I10" s="4">
        <v>1998</v>
      </c>
      <c r="J10" s="10">
        <v>1.6140000000000001</v>
      </c>
      <c r="K10" s="10">
        <v>1.585</v>
      </c>
      <c r="M10" s="4">
        <v>1998</v>
      </c>
      <c r="N10" s="20">
        <v>0.42670999999999998</v>
      </c>
      <c r="O10" s="20">
        <v>0.13378000000000001</v>
      </c>
      <c r="Q10" s="4">
        <v>1998</v>
      </c>
      <c r="R10" s="20">
        <v>0.89227999999999996</v>
      </c>
      <c r="S10" s="20">
        <v>0.33957999999999999</v>
      </c>
      <c r="U10" s="4">
        <v>1998</v>
      </c>
      <c r="V10" s="1">
        <v>48.95</v>
      </c>
      <c r="W10" s="1">
        <v>322.42</v>
      </c>
      <c r="Y10" s="4">
        <v>1997</v>
      </c>
      <c r="Z10" s="21">
        <v>1122.1890000000001</v>
      </c>
      <c r="AA10" s="21">
        <v>483.30799999999999</v>
      </c>
      <c r="AB10" s="18">
        <v>6838</v>
      </c>
      <c r="AC10" s="18">
        <v>2092</v>
      </c>
      <c r="AD10" s="20">
        <v>0.37839</v>
      </c>
      <c r="AE10" s="20">
        <v>0.11924</v>
      </c>
    </row>
    <row r="11" spans="1:31" x14ac:dyDescent="0.3">
      <c r="A11" s="4">
        <v>1999</v>
      </c>
      <c r="B11" s="1">
        <v>1949849.35424</v>
      </c>
      <c r="C11" s="1">
        <v>2613176.6968319998</v>
      </c>
      <c r="E11" s="4">
        <v>1999</v>
      </c>
      <c r="F11" s="1">
        <v>52748.921999999999</v>
      </c>
      <c r="G11" s="1">
        <v>48598.667999999998</v>
      </c>
      <c r="I11" s="4">
        <v>1999</v>
      </c>
      <c r="J11" s="10">
        <v>1.579</v>
      </c>
      <c r="K11" s="10">
        <v>1.5169999999999999</v>
      </c>
      <c r="M11" s="4">
        <v>1999</v>
      </c>
      <c r="N11" s="20">
        <v>0.43709000000000003</v>
      </c>
      <c r="O11" s="20">
        <v>0.14398</v>
      </c>
      <c r="Q11" s="4">
        <v>1999</v>
      </c>
      <c r="R11" s="20">
        <v>0.90069999999999995</v>
      </c>
      <c r="S11" s="20">
        <v>0.36176999999999998</v>
      </c>
      <c r="U11" s="4">
        <v>1999</v>
      </c>
      <c r="V11" s="1">
        <v>45.39</v>
      </c>
      <c r="W11" s="1">
        <v>311.10000000000002</v>
      </c>
      <c r="Y11" s="4">
        <v>1998</v>
      </c>
      <c r="Z11" s="21">
        <v>1100.9269999999999</v>
      </c>
      <c r="AA11" s="21">
        <v>458.54199999999997</v>
      </c>
      <c r="AB11" s="18">
        <v>6680</v>
      </c>
      <c r="AC11" s="18">
        <v>1983</v>
      </c>
      <c r="AD11" s="20">
        <v>0.36247999999999997</v>
      </c>
      <c r="AE11" s="20">
        <v>0.11408</v>
      </c>
    </row>
    <row r="12" spans="1:31" x14ac:dyDescent="0.3">
      <c r="A12" s="4">
        <v>2000</v>
      </c>
      <c r="B12" s="1">
        <v>2031676.030976</v>
      </c>
      <c r="C12" s="1">
        <v>2718560.6819839999</v>
      </c>
      <c r="E12" s="4">
        <v>2000</v>
      </c>
      <c r="F12" s="1">
        <v>53147.277000000002</v>
      </c>
      <c r="G12" s="1">
        <v>48903.699000000001</v>
      </c>
      <c r="I12" s="4">
        <v>2000</v>
      </c>
      <c r="J12" s="10">
        <v>1.5349999999999999</v>
      </c>
      <c r="K12" s="10">
        <v>1.4670000000000001</v>
      </c>
      <c r="M12" s="4">
        <v>2000</v>
      </c>
      <c r="N12" s="20">
        <v>0.44503999999999999</v>
      </c>
      <c r="O12" s="20">
        <v>0.14954000000000001</v>
      </c>
      <c r="Q12" s="4">
        <v>2000</v>
      </c>
      <c r="R12" s="20">
        <v>0.90691999999999995</v>
      </c>
      <c r="S12" s="20">
        <v>0.36034999999999995</v>
      </c>
      <c r="U12" s="4">
        <v>2000</v>
      </c>
      <c r="V12" s="1">
        <v>42.48</v>
      </c>
      <c r="W12" s="1">
        <v>326.08</v>
      </c>
      <c r="Y12" s="4">
        <v>1999</v>
      </c>
      <c r="Z12" s="21">
        <v>1118.673</v>
      </c>
      <c r="AA12" s="21">
        <v>482.38900000000001</v>
      </c>
      <c r="AB12" s="18">
        <v>6756</v>
      </c>
      <c r="AC12" s="18">
        <v>2084</v>
      </c>
      <c r="AD12" s="20">
        <v>0.36343999999999999</v>
      </c>
      <c r="AE12" s="20">
        <v>0.12171</v>
      </c>
    </row>
    <row r="13" spans="1:31" x14ac:dyDescent="0.3">
      <c r="A13" s="4">
        <v>2001</v>
      </c>
      <c r="B13" s="1">
        <v>2077786.7673599999</v>
      </c>
      <c r="C13" s="1">
        <v>2793372.9095680001</v>
      </c>
      <c r="E13" s="4">
        <v>2001</v>
      </c>
      <c r="F13" s="1">
        <v>53258.633000000002</v>
      </c>
      <c r="G13" s="1">
        <v>49841.387000000002</v>
      </c>
      <c r="I13" s="4">
        <v>2001</v>
      </c>
      <c r="J13" s="10">
        <v>1.5129999999999999</v>
      </c>
      <c r="K13" s="10">
        <v>1.454</v>
      </c>
      <c r="M13" s="4">
        <v>2001</v>
      </c>
      <c r="N13" s="20">
        <v>0.45177999999999996</v>
      </c>
      <c r="O13" s="20">
        <v>0.14828</v>
      </c>
      <c r="Q13" s="4">
        <v>2001</v>
      </c>
      <c r="R13" s="20">
        <v>0.91626999999999992</v>
      </c>
      <c r="S13" s="20">
        <v>0.36131999999999997</v>
      </c>
      <c r="U13" s="4">
        <v>2001</v>
      </c>
      <c r="V13" s="1">
        <v>37.24</v>
      </c>
      <c r="W13" s="1">
        <v>327.36</v>
      </c>
      <c r="Y13" s="4">
        <v>2000</v>
      </c>
      <c r="Z13" s="21">
        <v>1178.028</v>
      </c>
      <c r="AA13" s="21">
        <v>481.26</v>
      </c>
      <c r="AB13" s="18">
        <v>7077</v>
      </c>
      <c r="AC13" s="18">
        <v>2080</v>
      </c>
      <c r="AD13" s="20">
        <v>0.37783</v>
      </c>
      <c r="AE13" s="20">
        <v>0.12067</v>
      </c>
    </row>
    <row r="14" spans="1:31" x14ac:dyDescent="0.3">
      <c r="A14" s="4">
        <v>2002</v>
      </c>
      <c r="B14" s="1">
        <v>2107316.5025280002</v>
      </c>
      <c r="C14" s="1">
        <v>2822441.5334399999</v>
      </c>
      <c r="E14" s="4">
        <v>2002</v>
      </c>
      <c r="F14" s="1">
        <v>52531.129000000001</v>
      </c>
      <c r="G14" s="1">
        <v>49257.788999999997</v>
      </c>
      <c r="I14" s="4">
        <v>2002</v>
      </c>
      <c r="J14" s="10">
        <v>1.48</v>
      </c>
      <c r="K14" s="10">
        <v>1.421</v>
      </c>
      <c r="M14" s="4">
        <v>2002</v>
      </c>
      <c r="N14" s="20">
        <v>0.45387</v>
      </c>
      <c r="O14" s="20">
        <v>0.15048</v>
      </c>
      <c r="Q14" s="4">
        <v>2002</v>
      </c>
      <c r="R14" s="20">
        <v>0.90605000000000002</v>
      </c>
      <c r="S14" s="20">
        <v>0.35859000000000002</v>
      </c>
      <c r="U14" s="4">
        <v>2002</v>
      </c>
      <c r="V14" s="1">
        <v>41.46</v>
      </c>
      <c r="W14" s="1">
        <v>332.49</v>
      </c>
      <c r="Y14" s="4">
        <v>2001</v>
      </c>
      <c r="Z14" s="21">
        <v>1187.0509999999999</v>
      </c>
      <c r="AA14" s="21">
        <v>482.92399999999998</v>
      </c>
      <c r="AB14" s="18">
        <v>7135</v>
      </c>
      <c r="AC14" s="18">
        <v>2101</v>
      </c>
      <c r="AD14" s="20">
        <v>0.37768000000000002</v>
      </c>
      <c r="AE14" s="20">
        <v>0.11885999999999999</v>
      </c>
    </row>
    <row r="15" spans="1:31" x14ac:dyDescent="0.3">
      <c r="A15" s="4">
        <v>2003</v>
      </c>
      <c r="B15" s="1">
        <v>2130940.6576640001</v>
      </c>
      <c r="C15" s="1">
        <v>2831676.0801280001</v>
      </c>
      <c r="E15" s="4">
        <v>2003</v>
      </c>
      <c r="F15" s="1">
        <v>52789.781000000003</v>
      </c>
      <c r="G15" s="1">
        <v>49300.902000000002</v>
      </c>
      <c r="I15" s="4">
        <v>2003</v>
      </c>
      <c r="J15" s="10">
        <v>1.48</v>
      </c>
      <c r="K15" s="10">
        <v>1.4159999999999999</v>
      </c>
      <c r="M15" s="4">
        <v>2003</v>
      </c>
      <c r="N15" s="20">
        <v>0.44877</v>
      </c>
      <c r="O15" s="20">
        <v>0.15096000000000001</v>
      </c>
      <c r="Q15" s="4">
        <v>2003</v>
      </c>
      <c r="R15" s="20">
        <v>0.89879000000000009</v>
      </c>
      <c r="S15" s="20">
        <v>0.35168999999999995</v>
      </c>
      <c r="U15" s="4">
        <v>2003</v>
      </c>
      <c r="V15" s="1">
        <v>45.21</v>
      </c>
      <c r="W15" s="1">
        <v>343.13</v>
      </c>
      <c r="Y15" s="4">
        <v>2002</v>
      </c>
      <c r="Z15" s="21">
        <v>1223.3219999999999</v>
      </c>
      <c r="AA15" s="21">
        <v>461.70600000000002</v>
      </c>
      <c r="AB15" s="18">
        <v>7356</v>
      </c>
      <c r="AC15" s="18">
        <v>2024</v>
      </c>
      <c r="AD15" s="20">
        <v>0.39222999999999997</v>
      </c>
      <c r="AE15" s="20">
        <v>0.11509</v>
      </c>
    </row>
    <row r="16" spans="1:31" x14ac:dyDescent="0.3">
      <c r="A16" s="4">
        <v>2004</v>
      </c>
      <c r="B16" s="1">
        <v>2196883.5051520001</v>
      </c>
      <c r="C16" s="1">
        <v>2894624.9809920001</v>
      </c>
      <c r="E16" s="4">
        <v>2004</v>
      </c>
      <c r="F16" s="1">
        <v>52906.542999999998</v>
      </c>
      <c r="G16" s="1">
        <v>49342.406000000003</v>
      </c>
      <c r="I16" s="4">
        <v>2004</v>
      </c>
      <c r="J16" s="10">
        <v>1.448</v>
      </c>
      <c r="K16" s="10">
        <v>1.385</v>
      </c>
      <c r="M16" s="4">
        <v>2004</v>
      </c>
      <c r="N16" s="20">
        <v>0.44929000000000002</v>
      </c>
      <c r="O16" s="20">
        <v>0.16036999999999998</v>
      </c>
      <c r="Q16" s="4">
        <v>2004</v>
      </c>
      <c r="R16" s="20">
        <v>0.90174999999999994</v>
      </c>
      <c r="S16" s="20">
        <v>0.36915999999999999</v>
      </c>
      <c r="U16" s="4">
        <v>2004</v>
      </c>
      <c r="V16" s="1">
        <v>43.71</v>
      </c>
      <c r="W16" s="1">
        <v>338.12</v>
      </c>
      <c r="Y16" s="4">
        <v>2003</v>
      </c>
      <c r="Z16" s="21">
        <v>1227.4749999999999</v>
      </c>
      <c r="AA16" s="21">
        <v>459.35300000000001</v>
      </c>
      <c r="AB16" s="18">
        <v>7385</v>
      </c>
      <c r="AC16" s="18">
        <v>2029</v>
      </c>
      <c r="AD16" s="20">
        <v>0.38929999999999998</v>
      </c>
      <c r="AE16" s="20">
        <v>0.11454</v>
      </c>
    </row>
    <row r="17" spans="1:31" x14ac:dyDescent="0.3">
      <c r="A17" s="4">
        <v>2005</v>
      </c>
      <c r="B17" s="1">
        <v>2238790.5003519999</v>
      </c>
      <c r="C17" s="1">
        <v>2945460.9940479998</v>
      </c>
      <c r="E17" s="4">
        <v>2005</v>
      </c>
      <c r="F17" s="1">
        <v>52124.855000000003</v>
      </c>
      <c r="G17" s="1">
        <v>48793.612999999998</v>
      </c>
      <c r="I17" s="4">
        <v>2005</v>
      </c>
      <c r="J17" s="10">
        <v>1.409</v>
      </c>
      <c r="K17" s="10">
        <v>1.345</v>
      </c>
      <c r="M17" s="4">
        <v>2005</v>
      </c>
      <c r="N17" s="20">
        <v>0.44697999999999999</v>
      </c>
      <c r="O17" s="20">
        <v>0.16513999999999998</v>
      </c>
      <c r="Q17" s="4">
        <v>2005</v>
      </c>
      <c r="R17" s="20">
        <v>0.88995999999999997</v>
      </c>
      <c r="S17" s="20">
        <v>0.36926000000000003</v>
      </c>
      <c r="U17" s="4">
        <v>2005</v>
      </c>
      <c r="V17" s="1">
        <v>48.68</v>
      </c>
      <c r="W17" s="1">
        <v>335.05</v>
      </c>
      <c r="Y17" s="4">
        <v>2004</v>
      </c>
      <c r="Z17" s="21">
        <v>1239.4860000000001</v>
      </c>
      <c r="AA17" s="21">
        <v>461.97199999999998</v>
      </c>
      <c r="AB17" s="18">
        <v>7457</v>
      </c>
      <c r="AC17" s="18">
        <v>2056</v>
      </c>
      <c r="AD17" s="20">
        <v>0.38976</v>
      </c>
      <c r="AE17" s="20">
        <v>0.11521000000000001</v>
      </c>
    </row>
    <row r="18" spans="1:31" x14ac:dyDescent="0.3">
      <c r="A18" s="4">
        <v>2006</v>
      </c>
      <c r="B18" s="1">
        <v>2297018.1877759998</v>
      </c>
      <c r="C18" s="1">
        <v>3086359.1997440001</v>
      </c>
      <c r="E18" s="4">
        <v>2006</v>
      </c>
      <c r="F18" s="1">
        <v>51362.02</v>
      </c>
      <c r="G18" s="1">
        <v>50043.065999999999</v>
      </c>
      <c r="I18" s="4">
        <v>2006</v>
      </c>
      <c r="J18" s="10">
        <v>1.3620000000000001</v>
      </c>
      <c r="K18" s="10">
        <v>1.3160000000000001</v>
      </c>
      <c r="M18" s="4">
        <v>2006</v>
      </c>
      <c r="N18" s="20">
        <v>0.45252000000000003</v>
      </c>
      <c r="O18" s="20">
        <v>0.17274999999999999</v>
      </c>
      <c r="Q18" s="4">
        <v>2006</v>
      </c>
      <c r="R18" s="20">
        <v>0.90093000000000001</v>
      </c>
      <c r="S18" s="20">
        <v>0.38055999999999995</v>
      </c>
      <c r="U18" s="4">
        <v>2006</v>
      </c>
      <c r="V18" s="1">
        <v>43.44</v>
      </c>
      <c r="W18" s="1">
        <v>337.89</v>
      </c>
      <c r="Y18" s="4">
        <v>2005</v>
      </c>
      <c r="Z18" s="21">
        <v>1240.675</v>
      </c>
      <c r="AA18" s="21">
        <v>447.98599999999999</v>
      </c>
      <c r="AB18" s="18">
        <v>7462</v>
      </c>
      <c r="AC18" s="18">
        <v>2008</v>
      </c>
      <c r="AD18" s="20">
        <v>0.39335999999999999</v>
      </c>
      <c r="AE18" s="20">
        <v>0.11305</v>
      </c>
    </row>
    <row r="19" spans="1:31" x14ac:dyDescent="0.3">
      <c r="A19" s="4">
        <v>2007</v>
      </c>
      <c r="B19" s="1">
        <v>2354672.0419839998</v>
      </c>
      <c r="C19" s="1">
        <v>3220275.7242879998</v>
      </c>
      <c r="E19" s="4">
        <v>2007</v>
      </c>
      <c r="F19" s="1">
        <v>50151.976999999999</v>
      </c>
      <c r="G19" s="1">
        <v>47958.112999999998</v>
      </c>
      <c r="I19" s="4">
        <v>2007</v>
      </c>
      <c r="J19" s="10">
        <v>1.306</v>
      </c>
      <c r="K19" s="10">
        <v>1.2090000000000001</v>
      </c>
      <c r="M19" s="4">
        <v>2007</v>
      </c>
      <c r="N19" s="20">
        <v>0.45423000000000002</v>
      </c>
      <c r="O19" s="20">
        <v>0.17448</v>
      </c>
      <c r="Q19" s="4">
        <v>2007</v>
      </c>
      <c r="R19" s="20">
        <v>0.89710999999999996</v>
      </c>
      <c r="S19" s="20">
        <v>0.3644</v>
      </c>
      <c r="U19" s="4">
        <v>2007</v>
      </c>
      <c r="V19" s="1">
        <v>45.01</v>
      </c>
      <c r="W19" s="1">
        <v>348.23</v>
      </c>
      <c r="Y19" s="4">
        <v>2006</v>
      </c>
      <c r="Z19" s="21">
        <v>1229.2190000000001</v>
      </c>
      <c r="AA19" s="21">
        <v>456.95499999999998</v>
      </c>
      <c r="AB19" s="18">
        <v>7390</v>
      </c>
      <c r="AC19" s="18">
        <v>2061</v>
      </c>
      <c r="AD19" s="20">
        <v>0.39285999999999999</v>
      </c>
      <c r="AE19" s="20">
        <v>0.11248</v>
      </c>
    </row>
    <row r="20" spans="1:31" x14ac:dyDescent="0.3">
      <c r="A20" s="4">
        <v>2008</v>
      </c>
      <c r="B20" s="1">
        <v>2362451.6894720001</v>
      </c>
      <c r="C20" s="1">
        <v>3289020.3668479999</v>
      </c>
      <c r="E20" s="4">
        <v>2008</v>
      </c>
      <c r="F20" s="1">
        <v>49980.468999999997</v>
      </c>
      <c r="G20" s="1">
        <v>48446.046999999999</v>
      </c>
      <c r="I20" s="4">
        <v>2008</v>
      </c>
      <c r="J20" s="10">
        <v>1.306</v>
      </c>
      <c r="K20" s="10">
        <v>1.196</v>
      </c>
      <c r="M20" s="4">
        <v>2008</v>
      </c>
      <c r="N20" s="20">
        <v>0.46037999999999996</v>
      </c>
      <c r="O20" s="20">
        <v>0.18013999999999999</v>
      </c>
      <c r="Q20" s="4">
        <v>2008</v>
      </c>
      <c r="R20" s="20">
        <v>0.90264</v>
      </c>
      <c r="S20" s="20">
        <v>0.38409999999999994</v>
      </c>
      <c r="U20" s="4">
        <v>2008</v>
      </c>
      <c r="V20" s="1">
        <v>43.11</v>
      </c>
      <c r="W20" s="1">
        <v>332.21</v>
      </c>
      <c r="Y20" s="4">
        <v>2007</v>
      </c>
      <c r="Z20" s="21">
        <v>1193.152</v>
      </c>
      <c r="AA20" s="21">
        <v>381.32100000000003</v>
      </c>
      <c r="AB20" s="18">
        <v>7170</v>
      </c>
      <c r="AC20" s="18">
        <v>1731</v>
      </c>
      <c r="AD20" s="20">
        <v>0.38792000000000004</v>
      </c>
      <c r="AE20" s="20">
        <v>9.7939999999999999E-2</v>
      </c>
    </row>
    <row r="21" spans="1:31" x14ac:dyDescent="0.3">
      <c r="A21" s="4">
        <v>2009</v>
      </c>
      <c r="B21" s="1">
        <v>2295353.0490879999</v>
      </c>
      <c r="C21" s="1">
        <v>3136502.1040639998</v>
      </c>
      <c r="E21" s="4">
        <v>2009</v>
      </c>
      <c r="F21" s="1">
        <v>46847.41</v>
      </c>
      <c r="G21" s="1">
        <v>45436.254000000001</v>
      </c>
      <c r="I21" s="4">
        <v>2009</v>
      </c>
      <c r="J21" s="10">
        <v>1.2669999999999999</v>
      </c>
      <c r="K21" s="10">
        <v>1.177</v>
      </c>
      <c r="M21" s="4">
        <v>2009</v>
      </c>
      <c r="N21" s="20">
        <v>0.45457000000000003</v>
      </c>
      <c r="O21" s="20">
        <v>0.18248</v>
      </c>
      <c r="Q21" s="4">
        <v>2009</v>
      </c>
      <c r="R21" s="20">
        <v>0.90361000000000002</v>
      </c>
      <c r="S21" s="20">
        <v>0.39289999999999997</v>
      </c>
      <c r="U21" s="4">
        <v>2009</v>
      </c>
      <c r="V21" s="1">
        <v>39.979999999999997</v>
      </c>
      <c r="W21" s="1">
        <v>306.64999999999998</v>
      </c>
      <c r="Y21" s="4">
        <v>2008</v>
      </c>
      <c r="Z21" s="21">
        <v>1184.9780000000001</v>
      </c>
      <c r="AA21" s="21">
        <v>401.18</v>
      </c>
      <c r="AB21" s="18">
        <v>7120</v>
      </c>
      <c r="AC21" s="18">
        <v>1828</v>
      </c>
      <c r="AD21" s="20">
        <v>0.38412999999999997</v>
      </c>
      <c r="AE21" s="20">
        <v>0.10196</v>
      </c>
    </row>
    <row r="22" spans="1:31" x14ac:dyDescent="0.3">
      <c r="A22" s="4">
        <v>2010</v>
      </c>
      <c r="B22" s="1">
        <v>2342490.4724480002</v>
      </c>
      <c r="C22" s="1">
        <v>3301123.0310399998</v>
      </c>
      <c r="E22" s="4">
        <v>2010</v>
      </c>
      <c r="F22" s="1">
        <v>48062.32</v>
      </c>
      <c r="G22" s="1">
        <v>47305.836000000003</v>
      </c>
      <c r="I22" s="4">
        <v>2010</v>
      </c>
      <c r="J22" s="10">
        <v>1.2809999999999999</v>
      </c>
      <c r="K22" s="10">
        <v>1.165</v>
      </c>
      <c r="M22" s="4">
        <v>2010</v>
      </c>
      <c r="N22" s="20">
        <v>0.46240000000000003</v>
      </c>
      <c r="O22" s="20">
        <v>0.18523000000000001</v>
      </c>
      <c r="Q22" s="4">
        <v>2010</v>
      </c>
      <c r="R22" s="20">
        <v>0.89835999999999994</v>
      </c>
      <c r="S22" s="20">
        <v>0.39405000000000001</v>
      </c>
      <c r="U22" s="4">
        <v>2010</v>
      </c>
      <c r="V22" s="1">
        <v>44.18</v>
      </c>
      <c r="W22" s="1">
        <v>322.49</v>
      </c>
      <c r="Y22" s="4">
        <v>2009</v>
      </c>
      <c r="Z22" s="21">
        <v>1098.0409999999999</v>
      </c>
      <c r="AA22" s="21">
        <v>361.601</v>
      </c>
      <c r="AB22" s="18">
        <v>6599</v>
      </c>
      <c r="AC22" s="18">
        <v>1660</v>
      </c>
      <c r="AD22" s="20">
        <v>0.37747999999999998</v>
      </c>
      <c r="AE22" s="20">
        <v>9.7939999999999999E-2</v>
      </c>
    </row>
    <row r="23" spans="1:31" x14ac:dyDescent="0.3">
      <c r="A23" s="4">
        <v>2011</v>
      </c>
      <c r="B23" s="1">
        <v>2393401.9829759998</v>
      </c>
      <c r="C23" s="1">
        <v>3467712.9216</v>
      </c>
      <c r="E23" s="4">
        <v>2011</v>
      </c>
      <c r="F23" s="1">
        <v>46149.175999999999</v>
      </c>
      <c r="G23" s="1">
        <v>45571.483999999997</v>
      </c>
      <c r="I23" s="4">
        <v>2011</v>
      </c>
      <c r="J23" s="10">
        <v>1.21</v>
      </c>
      <c r="K23" s="10">
        <v>1.07</v>
      </c>
      <c r="M23" s="4">
        <v>2011</v>
      </c>
      <c r="N23" s="20">
        <v>0.47604999999999997</v>
      </c>
      <c r="O23" s="20">
        <v>0.1827</v>
      </c>
      <c r="Q23" s="4">
        <v>2011</v>
      </c>
      <c r="R23" s="20">
        <v>0.89599999999999991</v>
      </c>
      <c r="S23" s="20">
        <v>0.38412999999999997</v>
      </c>
      <c r="U23" s="4">
        <v>2011</v>
      </c>
      <c r="V23" s="1">
        <v>42.21</v>
      </c>
      <c r="W23" s="1">
        <v>320.45</v>
      </c>
      <c r="Y23" s="4">
        <v>2010</v>
      </c>
      <c r="Z23" s="21">
        <v>1141.338</v>
      </c>
      <c r="AA23" s="21">
        <v>374.36200000000002</v>
      </c>
      <c r="AB23" s="18">
        <v>6862</v>
      </c>
      <c r="AC23" s="18">
        <v>1728</v>
      </c>
      <c r="AD23" s="20">
        <v>0.38029000000000002</v>
      </c>
      <c r="AE23" s="20">
        <v>9.7309999999999994E-2</v>
      </c>
    </row>
    <row r="24" spans="1:31" x14ac:dyDescent="0.3">
      <c r="A24" s="4">
        <v>2012</v>
      </c>
      <c r="B24" s="1">
        <v>2400896.4177919999</v>
      </c>
      <c r="C24" s="1">
        <v>3482225.4755839999</v>
      </c>
      <c r="E24" s="4">
        <v>2012</v>
      </c>
      <c r="F24" s="1">
        <v>45884.934000000001</v>
      </c>
      <c r="G24" s="1">
        <v>46132.684000000001</v>
      </c>
      <c r="I24" s="4">
        <v>2012</v>
      </c>
      <c r="J24" s="10">
        <v>1.2050000000000001</v>
      </c>
      <c r="K24" s="10">
        <v>1.08</v>
      </c>
      <c r="M24" s="4">
        <v>2012</v>
      </c>
      <c r="N24" s="20">
        <v>0.47714000000000001</v>
      </c>
      <c r="O24" s="20">
        <v>0.18856000000000001</v>
      </c>
      <c r="Q24" s="4">
        <v>2012</v>
      </c>
      <c r="R24" s="20">
        <v>0.89971000000000001</v>
      </c>
      <c r="S24" s="20">
        <v>0.39183000000000001</v>
      </c>
      <c r="U24" s="4">
        <v>2012</v>
      </c>
      <c r="V24" s="1">
        <v>44.04</v>
      </c>
      <c r="W24" s="1">
        <v>331.08</v>
      </c>
      <c r="Y24" s="4">
        <v>2011</v>
      </c>
      <c r="Z24" s="21">
        <v>1171.086</v>
      </c>
      <c r="AA24" s="21">
        <v>285.82100000000003</v>
      </c>
      <c r="AB24" s="18">
        <v>7047</v>
      </c>
      <c r="AC24" s="18">
        <v>1326</v>
      </c>
      <c r="AD24" s="20">
        <v>0.40423999999999999</v>
      </c>
      <c r="AE24" s="20">
        <v>7.7030000000000001E-2</v>
      </c>
    </row>
    <row r="25" spans="1:31" x14ac:dyDescent="0.3">
      <c r="A25" s="4">
        <v>2013</v>
      </c>
      <c r="B25" s="1">
        <v>2414733.6888319999</v>
      </c>
      <c r="C25" s="1">
        <v>3497463.1198720001</v>
      </c>
      <c r="E25" s="4">
        <v>2013</v>
      </c>
      <c r="F25" s="1">
        <v>46169.375</v>
      </c>
      <c r="G25" s="1">
        <v>47361.52</v>
      </c>
      <c r="I25" s="4">
        <v>2013</v>
      </c>
      <c r="J25" s="10">
        <v>1.2110000000000001</v>
      </c>
      <c r="K25" s="10">
        <v>1.1060000000000001</v>
      </c>
      <c r="M25" s="4">
        <v>2013</v>
      </c>
      <c r="N25" s="20">
        <v>0.48129</v>
      </c>
      <c r="O25" s="20">
        <v>0.18640999999999999</v>
      </c>
      <c r="Q25" s="4">
        <v>2013</v>
      </c>
      <c r="R25" s="20">
        <v>0.90698999999999996</v>
      </c>
      <c r="S25" s="20">
        <v>0.39581000000000005</v>
      </c>
      <c r="U25" s="4">
        <v>2013</v>
      </c>
      <c r="V25" s="1">
        <v>43.99</v>
      </c>
      <c r="W25" s="1">
        <v>338.79</v>
      </c>
      <c r="Y25" s="4">
        <v>2012</v>
      </c>
      <c r="Z25" s="21">
        <v>1119.307</v>
      </c>
      <c r="AA25" s="21">
        <v>261.69400000000002</v>
      </c>
      <c r="AB25" s="18">
        <v>6745</v>
      </c>
      <c r="AC25" s="18">
        <v>1220</v>
      </c>
      <c r="AD25" s="20">
        <v>0.38675999999999999</v>
      </c>
      <c r="AE25" s="20">
        <v>6.9560000000000011E-2</v>
      </c>
    </row>
    <row r="26" spans="1:31" x14ac:dyDescent="0.3">
      <c r="A26" s="4">
        <v>2014</v>
      </c>
      <c r="B26" s="1">
        <v>2437822.8080640002</v>
      </c>
      <c r="C26" s="1">
        <v>3574741.3360640001</v>
      </c>
      <c r="E26" s="4">
        <v>2014</v>
      </c>
      <c r="F26" s="1">
        <v>43983.483999999997</v>
      </c>
      <c r="G26" s="1">
        <v>45327.605000000003</v>
      </c>
      <c r="I26" s="4">
        <v>2014</v>
      </c>
      <c r="J26" s="10">
        <v>1.147</v>
      </c>
      <c r="K26" s="10">
        <v>1.038</v>
      </c>
      <c r="M26" s="4">
        <v>2014</v>
      </c>
      <c r="N26" s="20">
        <v>0.50812000000000002</v>
      </c>
      <c r="O26" s="20">
        <v>0.2014</v>
      </c>
      <c r="Q26" s="4">
        <v>2014</v>
      </c>
      <c r="R26" s="20">
        <v>0.93685000000000007</v>
      </c>
      <c r="S26" s="20">
        <v>0.41868</v>
      </c>
      <c r="U26" s="4">
        <v>2014</v>
      </c>
      <c r="V26" s="1">
        <v>29.53</v>
      </c>
      <c r="W26" s="1">
        <v>322.79000000000002</v>
      </c>
      <c r="Y26" s="4">
        <v>2013</v>
      </c>
      <c r="Z26" s="21">
        <v>1108.0619999999999</v>
      </c>
      <c r="AA26" s="21">
        <v>254.44300000000001</v>
      </c>
      <c r="AB26" s="18">
        <v>6689</v>
      </c>
      <c r="AC26" s="18">
        <v>1191</v>
      </c>
      <c r="AD26" s="20">
        <v>0.37894</v>
      </c>
      <c r="AE26" s="20">
        <v>6.5769999999999995E-2</v>
      </c>
    </row>
    <row r="27" spans="1:31" x14ac:dyDescent="0.3">
      <c r="A27" s="4">
        <v>2015</v>
      </c>
      <c r="B27" s="1">
        <v>2464953.6634880002</v>
      </c>
      <c r="C27" s="1">
        <v>3628073.7464319998</v>
      </c>
      <c r="E27" s="4">
        <v>2015</v>
      </c>
      <c r="F27" s="1">
        <v>44229.48</v>
      </c>
      <c r="G27" s="1">
        <v>46066.906000000003</v>
      </c>
      <c r="I27" s="4">
        <v>2015</v>
      </c>
      <c r="J27" s="10">
        <v>1.145</v>
      </c>
      <c r="K27" s="10">
        <v>1.042</v>
      </c>
      <c r="M27" s="4">
        <v>2015</v>
      </c>
      <c r="N27" s="20">
        <v>0.49953000000000003</v>
      </c>
      <c r="O27" s="20">
        <v>0.21152000000000001</v>
      </c>
      <c r="Q27" s="4">
        <v>2015</v>
      </c>
      <c r="R27" s="20">
        <v>0.92189999999999994</v>
      </c>
      <c r="S27" s="20">
        <v>0.43796000000000002</v>
      </c>
      <c r="U27" s="4">
        <v>2015</v>
      </c>
      <c r="V27" s="1">
        <v>33.94</v>
      </c>
      <c r="W27" s="1">
        <v>321.88</v>
      </c>
      <c r="Y27" s="4">
        <v>2014</v>
      </c>
      <c r="Z27" s="21">
        <v>1134.6880000000001</v>
      </c>
      <c r="AA27" s="21">
        <v>252.5</v>
      </c>
      <c r="AB27" s="18">
        <v>6864</v>
      </c>
      <c r="AC27" s="18">
        <v>1187</v>
      </c>
      <c r="AD27" s="20">
        <v>0.40570000000000001</v>
      </c>
      <c r="AE27" s="20">
        <v>6.8049999999999999E-2</v>
      </c>
    </row>
    <row r="28" spans="1:31" x14ac:dyDescent="0.3">
      <c r="A28" s="4">
        <v>2016</v>
      </c>
      <c r="B28" s="1">
        <v>2491956.3304960001</v>
      </c>
      <c r="C28" s="1">
        <v>3708980.0355839999</v>
      </c>
      <c r="E28" s="4">
        <v>2016</v>
      </c>
      <c r="F28" s="1">
        <v>43217.41</v>
      </c>
      <c r="G28" s="1">
        <v>46658.379000000001</v>
      </c>
      <c r="I28" s="4">
        <v>2016</v>
      </c>
      <c r="J28" s="10">
        <v>1.1100000000000001</v>
      </c>
      <c r="K28" s="10">
        <v>1.036</v>
      </c>
      <c r="M28" s="4">
        <v>2016</v>
      </c>
      <c r="N28" s="20">
        <v>0.48188999999999999</v>
      </c>
      <c r="O28" s="20">
        <v>0.20324999999999999</v>
      </c>
      <c r="Q28" s="4">
        <v>2016</v>
      </c>
      <c r="R28" s="20">
        <v>0.8987099999999999</v>
      </c>
      <c r="S28" s="20">
        <v>0.42674000000000001</v>
      </c>
      <c r="U28" s="4">
        <v>2016</v>
      </c>
      <c r="V28" s="1">
        <v>38.31</v>
      </c>
      <c r="W28" s="1">
        <v>319.67</v>
      </c>
      <c r="Y28" s="4">
        <v>2015</v>
      </c>
      <c r="Z28" s="21">
        <v>1130.386</v>
      </c>
      <c r="AA28" s="21">
        <v>237.191</v>
      </c>
      <c r="AB28" s="18">
        <v>6855</v>
      </c>
      <c r="AC28" s="18">
        <v>1118</v>
      </c>
      <c r="AD28" s="20">
        <v>0.40051999999999999</v>
      </c>
      <c r="AE28" s="20">
        <v>6.2729999999999994E-2</v>
      </c>
    </row>
    <row r="29" spans="1:31" x14ac:dyDescent="0.3">
      <c r="A29" s="4">
        <v>2017</v>
      </c>
      <c r="B29" s="1">
        <v>2549057.5851520002</v>
      </c>
      <c r="C29" s="1">
        <v>3808389.4968320001</v>
      </c>
      <c r="E29" s="4">
        <v>2017</v>
      </c>
      <c r="F29" s="1">
        <v>42948.913999999997</v>
      </c>
      <c r="G29" s="1">
        <v>47057.949000000001</v>
      </c>
      <c r="I29" s="4">
        <v>2017</v>
      </c>
      <c r="J29" s="10">
        <v>1.081</v>
      </c>
      <c r="K29" s="10">
        <v>1.0209999999999999</v>
      </c>
      <c r="M29" s="4">
        <v>2017</v>
      </c>
      <c r="N29" s="20">
        <v>0.47067999999999999</v>
      </c>
      <c r="O29" s="20">
        <v>0.21278</v>
      </c>
      <c r="Q29" s="4">
        <v>2017</v>
      </c>
      <c r="R29" s="20">
        <v>0.88241000000000003</v>
      </c>
      <c r="S29" s="20">
        <v>0.45308999999999999</v>
      </c>
      <c r="U29" s="4">
        <v>2017</v>
      </c>
      <c r="V29" s="1">
        <v>43.52</v>
      </c>
      <c r="W29" s="1">
        <v>302.70999999999998</v>
      </c>
      <c r="Y29" s="4">
        <v>2016</v>
      </c>
      <c r="Z29" s="21">
        <v>1035.759</v>
      </c>
      <c r="AA29" s="21">
        <v>217.41499999999999</v>
      </c>
      <c r="AB29" s="18">
        <v>6301</v>
      </c>
      <c r="AC29" s="18">
        <v>1028</v>
      </c>
      <c r="AD29" s="20">
        <v>0.37453000000000003</v>
      </c>
      <c r="AE29" s="20">
        <v>5.6600000000000004E-2</v>
      </c>
    </row>
    <row r="30" spans="1:31" x14ac:dyDescent="0.3">
      <c r="A30" s="4">
        <v>2018</v>
      </c>
      <c r="B30" s="1">
        <v>2596599.2345599998</v>
      </c>
      <c r="C30" s="1">
        <v>3845758.6483200002</v>
      </c>
      <c r="E30" s="4">
        <v>2018</v>
      </c>
      <c r="F30" s="1">
        <v>43389.093999999997</v>
      </c>
      <c r="G30" s="1">
        <v>45691.597999999998</v>
      </c>
      <c r="I30" s="4">
        <v>2018</v>
      </c>
      <c r="J30" s="10">
        <v>1.0740000000000001</v>
      </c>
      <c r="K30" s="10">
        <v>0.98499999999999999</v>
      </c>
      <c r="M30" s="4">
        <v>2018</v>
      </c>
      <c r="N30" s="20">
        <v>0.49506999999999995</v>
      </c>
      <c r="O30" s="20">
        <v>0.22263000000000002</v>
      </c>
      <c r="Q30" s="4">
        <v>2018</v>
      </c>
      <c r="R30" s="20">
        <v>0.91409000000000007</v>
      </c>
      <c r="S30" s="20">
        <v>0.47277999999999998</v>
      </c>
      <c r="U30" s="4">
        <v>2018</v>
      </c>
      <c r="V30" s="1">
        <v>34.520000000000003</v>
      </c>
      <c r="W30" s="1">
        <v>287.39999999999998</v>
      </c>
      <c r="Y30" s="4">
        <v>2017</v>
      </c>
      <c r="Z30" s="21">
        <v>1017.3150000000001</v>
      </c>
      <c r="AA30" s="21">
        <v>194.91399999999999</v>
      </c>
      <c r="AB30" s="18">
        <v>6210</v>
      </c>
      <c r="AC30" s="18">
        <v>924</v>
      </c>
      <c r="AD30" s="20">
        <v>0.36926999999999999</v>
      </c>
      <c r="AE30" s="20">
        <v>5.0130000000000001E-2</v>
      </c>
    </row>
    <row r="31" spans="1:31" x14ac:dyDescent="0.3">
      <c r="A31" s="4">
        <v>2019</v>
      </c>
      <c r="B31" s="1">
        <v>2644453.8839039998</v>
      </c>
      <c r="C31" s="1">
        <v>3886392.803328</v>
      </c>
      <c r="E31" s="4">
        <v>2019</v>
      </c>
      <c r="F31" s="1">
        <v>42384.667999999998</v>
      </c>
      <c r="G31" s="1">
        <v>44436.824000000001</v>
      </c>
      <c r="I31" s="4">
        <v>2019</v>
      </c>
      <c r="J31" s="10">
        <v>1.032</v>
      </c>
      <c r="K31" s="10">
        <v>0.95099999999999996</v>
      </c>
      <c r="M31" s="4">
        <v>2019</v>
      </c>
      <c r="N31" s="20">
        <v>0.49133000000000004</v>
      </c>
      <c r="O31" s="20">
        <v>0.23969000000000001</v>
      </c>
      <c r="Q31" s="4">
        <v>2019</v>
      </c>
      <c r="R31" s="20">
        <v>0.90515000000000001</v>
      </c>
      <c r="S31" s="20">
        <v>0.52698999999999996</v>
      </c>
      <c r="U31" s="4">
        <v>2019</v>
      </c>
      <c r="V31" s="1">
        <v>33.85</v>
      </c>
      <c r="W31" s="1">
        <v>235.53</v>
      </c>
      <c r="Y31" s="4">
        <v>2018</v>
      </c>
      <c r="Z31" s="21">
        <v>1048.3889999999999</v>
      </c>
      <c r="AA31" s="21">
        <v>192.96299999999999</v>
      </c>
      <c r="AB31" s="18">
        <v>6424</v>
      </c>
      <c r="AC31" s="18">
        <v>917</v>
      </c>
      <c r="AD31" s="20">
        <v>0.37591000000000002</v>
      </c>
      <c r="AE31" s="20">
        <v>5.0940000000000006E-2</v>
      </c>
    </row>
    <row r="32" spans="1:31" x14ac:dyDescent="0.3">
      <c r="A32" s="4">
        <v>2020</v>
      </c>
      <c r="B32" s="1">
        <v>2438594.035712</v>
      </c>
      <c r="C32" s="1">
        <v>3742720.8519680002</v>
      </c>
      <c r="E32" s="4">
        <v>2020</v>
      </c>
      <c r="F32" s="1">
        <v>37859.245999999999</v>
      </c>
      <c r="G32" s="1">
        <v>41328.737999999998</v>
      </c>
      <c r="I32" s="4">
        <v>2020</v>
      </c>
      <c r="J32" s="10">
        <v>1.0009999999999999</v>
      </c>
      <c r="K32" s="10">
        <v>0.92</v>
      </c>
      <c r="M32" s="4">
        <v>2020</v>
      </c>
      <c r="N32" s="20">
        <v>0.51244999999999996</v>
      </c>
      <c r="O32" s="20">
        <v>0.25835000000000002</v>
      </c>
      <c r="Q32" s="4">
        <v>2020</v>
      </c>
      <c r="R32" s="20">
        <v>0.90825</v>
      </c>
      <c r="S32" s="20">
        <v>0.55734000000000006</v>
      </c>
      <c r="U32" s="4">
        <v>2020</v>
      </c>
      <c r="V32" s="1">
        <v>31.15</v>
      </c>
      <c r="W32" s="1">
        <v>201.57</v>
      </c>
      <c r="Y32" s="4">
        <v>2019</v>
      </c>
      <c r="Z32" s="21">
        <v>1009.287</v>
      </c>
      <c r="AA32" s="21">
        <v>189.89</v>
      </c>
      <c r="AB32" s="18">
        <v>6196</v>
      </c>
      <c r="AC32" s="18">
        <v>903</v>
      </c>
      <c r="AD32" s="20">
        <v>0.36975999999999998</v>
      </c>
      <c r="AE32" s="20">
        <v>5.1390000000000005E-2</v>
      </c>
    </row>
    <row r="33" spans="1:31" x14ac:dyDescent="0.3">
      <c r="A33" s="4">
        <v>2021</v>
      </c>
      <c r="B33" s="1">
        <v>2604822.69184</v>
      </c>
      <c r="C33" s="1">
        <v>3841041.6291840002</v>
      </c>
      <c r="E33" s="4">
        <v>2021</v>
      </c>
      <c r="F33" s="1">
        <v>40191.641000000003</v>
      </c>
      <c r="G33" s="1">
        <v>42496.608999999997</v>
      </c>
      <c r="I33" s="4">
        <v>2021</v>
      </c>
      <c r="J33" s="10">
        <v>0.996</v>
      </c>
      <c r="K33" s="10">
        <v>0.92300000000000004</v>
      </c>
      <c r="M33" s="4">
        <v>2021</v>
      </c>
      <c r="N33" s="20">
        <v>0.50356000000000001</v>
      </c>
      <c r="O33" s="20">
        <v>0.23963999999999999</v>
      </c>
      <c r="Q33" s="4">
        <v>2021</v>
      </c>
      <c r="R33" s="20">
        <v>0.91130999999999995</v>
      </c>
      <c r="S33" s="20">
        <v>0.52151999999999998</v>
      </c>
      <c r="U33" s="4">
        <v>2021</v>
      </c>
      <c r="V33" s="1">
        <v>32.880000000000003</v>
      </c>
      <c r="W33" s="1">
        <v>228.56</v>
      </c>
      <c r="Y33" s="4">
        <v>2020</v>
      </c>
      <c r="Z33" s="21">
        <v>891.721</v>
      </c>
      <c r="AA33" s="21">
        <v>162.255</v>
      </c>
      <c r="AB33" s="18">
        <v>5487</v>
      </c>
      <c r="AC33" s="18">
        <v>773</v>
      </c>
      <c r="AD33" s="20">
        <v>0.36527999999999999</v>
      </c>
      <c r="AE33" s="20">
        <v>4.7110000000000006E-2</v>
      </c>
    </row>
    <row r="34" spans="1:31" x14ac:dyDescent="0.3">
      <c r="A34" s="4">
        <v>2022</v>
      </c>
      <c r="B34" s="1">
        <v>2671568.7485440001</v>
      </c>
      <c r="C34" s="1">
        <v>3909612.7324160002</v>
      </c>
      <c r="E34" s="4">
        <v>2022</v>
      </c>
      <c r="F34" s="1">
        <v>35566.758000000002</v>
      </c>
      <c r="G34" s="1">
        <v>40938.07</v>
      </c>
      <c r="I34" s="4">
        <v>2022</v>
      </c>
      <c r="J34" s="10">
        <v>0.86</v>
      </c>
      <c r="K34" s="10">
        <v>0.873</v>
      </c>
      <c r="M34" s="4">
        <v>2022</v>
      </c>
      <c r="N34" s="20">
        <v>0.46671000000000001</v>
      </c>
      <c r="O34" s="20">
        <v>0.23905999999999999</v>
      </c>
      <c r="Q34" s="4">
        <v>2022</v>
      </c>
      <c r="R34" s="20">
        <v>0.87105999999999995</v>
      </c>
      <c r="S34" s="20">
        <v>0.50424000000000002</v>
      </c>
      <c r="U34" s="4">
        <v>2022</v>
      </c>
      <c r="V34" s="1">
        <v>36.99</v>
      </c>
      <c r="W34" s="1">
        <v>238.37</v>
      </c>
      <c r="Y34" s="4">
        <v>2021</v>
      </c>
      <c r="Z34" s="21">
        <v>952.55799999999999</v>
      </c>
      <c r="AA34" s="21">
        <v>173.583</v>
      </c>
      <c r="AB34" s="18">
        <v>5879</v>
      </c>
      <c r="AC34" s="18">
        <v>829</v>
      </c>
      <c r="AD34" s="20">
        <v>0.36726999999999999</v>
      </c>
      <c r="AE34" s="20">
        <v>4.897E-2</v>
      </c>
    </row>
    <row r="35" spans="1:31" x14ac:dyDescent="0.3">
      <c r="A35" s="4" t="s">
        <v>170</v>
      </c>
      <c r="B35" s="1">
        <v>67099119.976447999</v>
      </c>
      <c r="C35" s="1">
        <v>94272181.764096022</v>
      </c>
      <c r="E35" s="4">
        <v>2023</v>
      </c>
      <c r="F35" s="1">
        <v>37164.296999999999</v>
      </c>
      <c r="G35" s="1">
        <v>38052.269999999997</v>
      </c>
      <c r="I35" s="4">
        <v>2023</v>
      </c>
      <c r="J35" s="10"/>
      <c r="K35" s="10"/>
      <c r="M35" s="4">
        <v>2023</v>
      </c>
      <c r="N35" s="20">
        <v>0.51969999999999994</v>
      </c>
      <c r="O35" s="20">
        <v>0.24962000000000001</v>
      </c>
      <c r="Q35" s="4">
        <v>2023</v>
      </c>
      <c r="R35" s="20">
        <v>0.91578000000000004</v>
      </c>
      <c r="S35" s="20">
        <v>0.54142999999999997</v>
      </c>
      <c r="U35" s="4">
        <v>2023</v>
      </c>
      <c r="V35" s="1">
        <v>28.81</v>
      </c>
      <c r="W35" s="1">
        <v>192.3</v>
      </c>
      <c r="Y35" s="4">
        <v>2022</v>
      </c>
      <c r="Z35" s="21">
        <v>737.35699999999997</v>
      </c>
      <c r="AA35" s="21">
        <v>86.834999999999994</v>
      </c>
      <c r="AB35" s="18">
        <v>4561</v>
      </c>
      <c r="AC35" s="18">
        <v>416</v>
      </c>
      <c r="AD35" s="20">
        <v>0.32079000000000002</v>
      </c>
      <c r="AE35" s="20">
        <v>2.5440000000000001E-2</v>
      </c>
    </row>
    <row r="36" spans="1:31" x14ac:dyDescent="0.3">
      <c r="E36" s="4" t="s">
        <v>170</v>
      </c>
      <c r="F36" s="1">
        <v>1470851.227</v>
      </c>
      <c r="G36" s="1">
        <v>1457351.564</v>
      </c>
      <c r="I36" s="4" t="s">
        <v>170</v>
      </c>
      <c r="J36" s="10">
        <v>40.001000000000005</v>
      </c>
      <c r="K36" s="10">
        <v>38.295000000000009</v>
      </c>
      <c r="U36" s="4" t="s">
        <v>170</v>
      </c>
      <c r="V36" s="1">
        <v>1218.1299999999999</v>
      </c>
      <c r="W36" s="1">
        <v>9510.619999999999</v>
      </c>
      <c r="Y36" s="4">
        <v>2023</v>
      </c>
      <c r="Z36" s="21">
        <v>843.03899999999999</v>
      </c>
      <c r="AA36" s="21">
        <v>17.986999999999998</v>
      </c>
      <c r="AB36" s="18">
        <v>5183</v>
      </c>
      <c r="AC36" s="18">
        <v>105</v>
      </c>
      <c r="AD36" s="20">
        <v>0.3503</v>
      </c>
      <c r="AE36" s="20">
        <v>5.6799999999999993E-3</v>
      </c>
    </row>
    <row r="37" spans="1:31" x14ac:dyDescent="0.3">
      <c r="Y37" s="4" t="s">
        <v>170</v>
      </c>
      <c r="Z37" s="21">
        <v>33947.554999999993</v>
      </c>
      <c r="AA37" s="21">
        <v>10482.780999999999</v>
      </c>
      <c r="AB37" s="18">
        <v>205936</v>
      </c>
      <c r="AC37" s="18">
        <v>47022</v>
      </c>
      <c r="AD37" s="20">
        <v>11.686960000000001</v>
      </c>
      <c r="AE37" s="20">
        <v>2.6788000000000003</v>
      </c>
    </row>
  </sheetData>
  <pageMargins left="0.7" right="0.7" top="0.78740157499999996" bottom="0.78740157499999996" header="0.3" footer="0.3"/>
  <pageSetup paperSize="9" orientation="portrait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BEEE2-3072-4BA8-A974-7720A06F7A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owid-energy-codebook</vt:lpstr>
      <vt:lpstr>energy-data-DE-FR</vt:lpstr>
      <vt:lpstr>Tabelle1</vt:lpstr>
      <vt:lpstr>Charts</vt:lpstr>
      <vt:lpstr>Data Completeness</vt:lpstr>
      <vt:lpstr>Exploratory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Mengni Zhang</dc:creator>
  <cp:lastModifiedBy>Mengni Zhang</cp:lastModifiedBy>
  <dcterms:created xsi:type="dcterms:W3CDTF">2025-08-27T09:45:31Z</dcterms:created>
  <dcterms:modified xsi:type="dcterms:W3CDTF">2025-08-27T20:07:53Z</dcterms:modified>
</cp:coreProperties>
</file>