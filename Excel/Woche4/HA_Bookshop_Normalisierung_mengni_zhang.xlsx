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DSI\Excel\Woche4\"/>
    </mc:Choice>
  </mc:AlternateContent>
  <xr:revisionPtr revIDLastSave="0" documentId="13_ncr:1_{64FEDEAA-10FE-4C87-B71F-3A123A3E29E8}" xr6:coauthVersionLast="47" xr6:coauthVersionMax="47" xr10:uidLastSave="{00000000-0000-0000-0000-000000000000}"/>
  <bookViews>
    <workbookView xWindow="-108" yWindow="-108" windowWidth="23256" windowHeight="12456" activeTab="1" xr2:uid="{E32F86CB-1417-4567-857E-7B77A588DEAA}"/>
  </bookViews>
  <sheets>
    <sheet name="Bookshop" sheetId="2" r:id="rId1"/>
    <sheet name="ERD" sheetId="8" r:id="rId2"/>
    <sheet name="Book_Edition" sheetId="7" r:id="rId3"/>
    <sheet name="Award" sheetId="5" r:id="rId4"/>
    <sheet name="Author" sheetId="4" r:id="rId5"/>
    <sheet name="Book" sheetId="1" r:id="rId6"/>
    <sheet name="Publisher" sheetId="6" r:id="rId7"/>
  </sheets>
  <definedNames>
    <definedName name="ExterneDaten_1" localSheetId="0" hidden="1">Bookshop!$A$1:$V$99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" i="7" l="1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L5" i="7"/>
  <c r="L9" i="7"/>
  <c r="L11" i="7"/>
  <c r="L12" i="7"/>
  <c r="L17" i="7"/>
  <c r="L21" i="7"/>
  <c r="L23" i="7"/>
  <c r="L24" i="7"/>
  <c r="L29" i="7"/>
  <c r="L33" i="7"/>
  <c r="L35" i="7"/>
  <c r="L36" i="7"/>
  <c r="L41" i="7"/>
  <c r="L45" i="7"/>
  <c r="L47" i="7"/>
  <c r="L48" i="7"/>
  <c r="L53" i="7"/>
  <c r="L57" i="7"/>
  <c r="L59" i="7"/>
  <c r="L60" i="7"/>
  <c r="L65" i="7"/>
  <c r="L69" i="7"/>
  <c r="L71" i="7"/>
  <c r="L72" i="7"/>
  <c r="L77" i="7"/>
  <c r="L81" i="7"/>
  <c r="L83" i="7"/>
  <c r="L84" i="7"/>
  <c r="L89" i="7"/>
  <c r="L93" i="7"/>
  <c r="L95" i="7"/>
  <c r="L96" i="7"/>
  <c r="K2" i="7"/>
  <c r="L2" i="7" s="1"/>
  <c r="K3" i="7"/>
  <c r="L3" i="7" s="1"/>
  <c r="K4" i="7"/>
  <c r="L4" i="7" s="1"/>
  <c r="K5" i="7"/>
  <c r="K6" i="7"/>
  <c r="L6" i="7" s="1"/>
  <c r="K7" i="7"/>
  <c r="L7" i="7" s="1"/>
  <c r="K8" i="7"/>
  <c r="L8" i="7" s="1"/>
  <c r="K9" i="7"/>
  <c r="K10" i="7"/>
  <c r="L10" i="7" s="1"/>
  <c r="K11" i="7"/>
  <c r="K12" i="7"/>
  <c r="K13" i="7"/>
  <c r="L13" i="7" s="1"/>
  <c r="K14" i="7"/>
  <c r="L14" i="7" s="1"/>
  <c r="K15" i="7"/>
  <c r="L15" i="7" s="1"/>
  <c r="K16" i="7"/>
  <c r="L16" i="7" s="1"/>
  <c r="K17" i="7"/>
  <c r="K18" i="7"/>
  <c r="L18" i="7" s="1"/>
  <c r="K19" i="7"/>
  <c r="L19" i="7" s="1"/>
  <c r="K20" i="7"/>
  <c r="L20" i="7" s="1"/>
  <c r="K21" i="7"/>
  <c r="K22" i="7"/>
  <c r="L22" i="7" s="1"/>
  <c r="K23" i="7"/>
  <c r="K24" i="7"/>
  <c r="K25" i="7"/>
  <c r="L25" i="7" s="1"/>
  <c r="K26" i="7"/>
  <c r="L26" i="7" s="1"/>
  <c r="K27" i="7"/>
  <c r="L27" i="7" s="1"/>
  <c r="K28" i="7"/>
  <c r="L28" i="7" s="1"/>
  <c r="K29" i="7"/>
  <c r="K30" i="7"/>
  <c r="L30" i="7" s="1"/>
  <c r="K31" i="7"/>
  <c r="L31" i="7" s="1"/>
  <c r="K32" i="7"/>
  <c r="L32" i="7" s="1"/>
  <c r="K33" i="7"/>
  <c r="K34" i="7"/>
  <c r="L34" i="7" s="1"/>
  <c r="K35" i="7"/>
  <c r="K36" i="7"/>
  <c r="K37" i="7"/>
  <c r="L37" i="7" s="1"/>
  <c r="K38" i="7"/>
  <c r="L38" i="7" s="1"/>
  <c r="K39" i="7"/>
  <c r="L39" i="7" s="1"/>
  <c r="K40" i="7"/>
  <c r="L40" i="7" s="1"/>
  <c r="K41" i="7"/>
  <c r="K42" i="7"/>
  <c r="L42" i="7" s="1"/>
  <c r="K43" i="7"/>
  <c r="L43" i="7" s="1"/>
  <c r="K44" i="7"/>
  <c r="L44" i="7" s="1"/>
  <c r="K45" i="7"/>
  <c r="K46" i="7"/>
  <c r="L46" i="7" s="1"/>
  <c r="K47" i="7"/>
  <c r="K48" i="7"/>
  <c r="K49" i="7"/>
  <c r="L49" i="7" s="1"/>
  <c r="K50" i="7"/>
  <c r="L50" i="7" s="1"/>
  <c r="K51" i="7"/>
  <c r="L51" i="7" s="1"/>
  <c r="K52" i="7"/>
  <c r="L52" i="7" s="1"/>
  <c r="K53" i="7"/>
  <c r="K54" i="7"/>
  <c r="L54" i="7" s="1"/>
  <c r="K55" i="7"/>
  <c r="L55" i="7" s="1"/>
  <c r="K56" i="7"/>
  <c r="L56" i="7" s="1"/>
  <c r="K57" i="7"/>
  <c r="K58" i="7"/>
  <c r="L58" i="7" s="1"/>
  <c r="K59" i="7"/>
  <c r="K60" i="7"/>
  <c r="K61" i="7"/>
  <c r="L61" i="7" s="1"/>
  <c r="K62" i="7"/>
  <c r="L62" i="7" s="1"/>
  <c r="K63" i="7"/>
  <c r="L63" i="7" s="1"/>
  <c r="K64" i="7"/>
  <c r="L64" i="7" s="1"/>
  <c r="K65" i="7"/>
  <c r="K66" i="7"/>
  <c r="L66" i="7" s="1"/>
  <c r="K67" i="7"/>
  <c r="L67" i="7" s="1"/>
  <c r="K68" i="7"/>
  <c r="L68" i="7" s="1"/>
  <c r="K69" i="7"/>
  <c r="K70" i="7"/>
  <c r="L70" i="7" s="1"/>
  <c r="K71" i="7"/>
  <c r="K72" i="7"/>
  <c r="K73" i="7"/>
  <c r="L73" i="7" s="1"/>
  <c r="K74" i="7"/>
  <c r="L74" i="7" s="1"/>
  <c r="K75" i="7"/>
  <c r="L75" i="7" s="1"/>
  <c r="K76" i="7"/>
  <c r="L76" i="7" s="1"/>
  <c r="K77" i="7"/>
  <c r="K78" i="7"/>
  <c r="L78" i="7" s="1"/>
  <c r="K79" i="7"/>
  <c r="L79" i="7" s="1"/>
  <c r="K80" i="7"/>
  <c r="L80" i="7" s="1"/>
  <c r="K81" i="7"/>
  <c r="K82" i="7"/>
  <c r="L82" i="7" s="1"/>
  <c r="K83" i="7"/>
  <c r="K84" i="7"/>
  <c r="K85" i="7"/>
  <c r="L85" i="7" s="1"/>
  <c r="K86" i="7"/>
  <c r="L86" i="7" s="1"/>
  <c r="K87" i="7"/>
  <c r="L87" i="7" s="1"/>
  <c r="K88" i="7"/>
  <c r="L88" i="7" s="1"/>
  <c r="K89" i="7"/>
  <c r="K90" i="7"/>
  <c r="L90" i="7" s="1"/>
  <c r="K91" i="7"/>
  <c r="L91" i="7" s="1"/>
  <c r="K92" i="7"/>
  <c r="L92" i="7" s="1"/>
  <c r="K93" i="7"/>
  <c r="K94" i="7"/>
  <c r="L94" i="7" s="1"/>
  <c r="K95" i="7"/>
  <c r="K96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J34" i="7"/>
  <c r="J35" i="7"/>
  <c r="J36" i="7"/>
  <c r="J37" i="7"/>
  <c r="J38" i="7"/>
  <c r="J39" i="7"/>
  <c r="J40" i="7"/>
  <c r="J41" i="7"/>
  <c r="J42" i="7"/>
  <c r="J43" i="7"/>
  <c r="J44" i="7"/>
  <c r="J45" i="7"/>
  <c r="J46" i="7"/>
  <c r="J47" i="7"/>
  <c r="J48" i="7"/>
  <c r="J49" i="7"/>
  <c r="J50" i="7"/>
  <c r="J51" i="7"/>
  <c r="J52" i="7"/>
  <c r="J53" i="7"/>
  <c r="J54" i="7"/>
  <c r="J55" i="7"/>
  <c r="J56" i="7"/>
  <c r="J57" i="7"/>
  <c r="J58" i="7"/>
  <c r="J59" i="7"/>
  <c r="J60" i="7"/>
  <c r="J61" i="7"/>
  <c r="J62" i="7"/>
  <c r="J63" i="7"/>
  <c r="J64" i="7"/>
  <c r="J65" i="7"/>
  <c r="J66" i="7"/>
  <c r="J67" i="7"/>
  <c r="J68" i="7"/>
  <c r="J69" i="7"/>
  <c r="J70" i="7"/>
  <c r="J71" i="7"/>
  <c r="J72" i="7"/>
  <c r="J73" i="7"/>
  <c r="J74" i="7"/>
  <c r="J75" i="7"/>
  <c r="J76" i="7"/>
  <c r="J77" i="7"/>
  <c r="J78" i="7"/>
  <c r="J79" i="7"/>
  <c r="J80" i="7"/>
  <c r="J81" i="7"/>
  <c r="J82" i="7"/>
  <c r="J83" i="7"/>
  <c r="J84" i="7"/>
  <c r="J85" i="7"/>
  <c r="J86" i="7"/>
  <c r="J87" i="7"/>
  <c r="J88" i="7"/>
  <c r="J89" i="7"/>
  <c r="J90" i="7"/>
  <c r="J91" i="7"/>
  <c r="J92" i="7"/>
  <c r="J93" i="7"/>
  <c r="J94" i="7"/>
  <c r="J95" i="7"/>
  <c r="J9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BBAB7CB-C4A0-4B4B-B64F-B81CBB405B15}" keepAlive="1" name="Abfrage - Bookshop" description="Verbindung mit der Abfrage 'Bookshop' in der Arbeitsmappe." type="5" refreshedVersion="8" background="1" saveData="1">
    <dbPr connection="Provider=Microsoft.Mashup.OleDb.1;Data Source=$Workbook$;Location=Bookshop;Extended Properties=&quot;&quot;" command="SELECT * FROM [Bookshop]"/>
  </connection>
</connections>
</file>

<file path=xl/sharedStrings.xml><?xml version="1.0" encoding="utf-8"?>
<sst xmlns="http://schemas.openxmlformats.org/spreadsheetml/2006/main" count="2223" uniqueCount="521">
  <si>
    <t>BookID</t>
  </si>
  <si>
    <t>Title</t>
  </si>
  <si>
    <t>AuthID</t>
  </si>
  <si>
    <t>Name</t>
  </si>
  <si>
    <t>Birthday</t>
  </si>
  <si>
    <t>Country of Residence</t>
  </si>
  <si>
    <t>Hrs Writing per Day</t>
  </si>
  <si>
    <t>Award Name</t>
  </si>
  <si>
    <t>Year Won</t>
  </si>
  <si>
    <t>ISBN</t>
  </si>
  <si>
    <t>Format</t>
  </si>
  <si>
    <t>PubID</t>
  </si>
  <si>
    <t>Publication Date</t>
  </si>
  <si>
    <t>Pages</t>
  </si>
  <si>
    <t>Print Run Size (k)</t>
  </si>
  <si>
    <t>Price</t>
  </si>
  <si>
    <t>Publishing House</t>
  </si>
  <si>
    <t>City</t>
  </si>
  <si>
    <t>State</t>
  </si>
  <si>
    <t>Country</t>
  </si>
  <si>
    <t>Year Established</t>
  </si>
  <si>
    <t>Marketing Spend</t>
  </si>
  <si>
    <t>BS284</t>
  </si>
  <si>
    <t>Sherlock: The Case of the Empty Awards Cabinet</t>
  </si>
  <si>
    <t>AC221</t>
  </si>
  <si>
    <t>Alex Carter</t>
  </si>
  <si>
    <t>Australia</t>
  </si>
  <si>
    <t>Hugo Award</t>
  </si>
  <si>
    <t>989-28-229-0197-6</t>
  </si>
  <si>
    <t>Hardcover</t>
  </si>
  <si>
    <t>PP</t>
  </si>
  <si>
    <t>Palimpsest Printing</t>
  </si>
  <si>
    <t>Edinburgh</t>
  </si>
  <si>
    <t>Scotland</t>
  </si>
  <si>
    <t>UK</t>
  </si>
  <si>
    <t>TS869</t>
  </si>
  <si>
    <t>Schitt's Creek: Ew, David!</t>
  </si>
  <si>
    <t>AD210</t>
  </si>
  <si>
    <t>Andrew Daniels</t>
  </si>
  <si>
    <t>USA</t>
  </si>
  <si>
    <t>989-28-79-05638-4</t>
  </si>
  <si>
    <t>E-Book</t>
  </si>
  <si>
    <t>QQ737</t>
  </si>
  <si>
    <t>The Legend of Zelda: Tears of the Kingdom</t>
  </si>
  <si>
    <t>AI232</t>
  </si>
  <si>
    <t>Akira Ishikawa</t>
  </si>
  <si>
    <t>Japan</t>
  </si>
  <si>
    <t>World Fantasy Award</t>
  </si>
  <si>
    <t>989-28-79-43841-8</t>
  </si>
  <si>
    <t>Paperback</t>
  </si>
  <si>
    <t>SM808</t>
  </si>
  <si>
    <t>Super Mario Odyssey: Jump Up, Superstar!</t>
  </si>
  <si>
    <t>989-28-3705-138-3</t>
  </si>
  <si>
    <t>MO707</t>
  </si>
  <si>
    <t>Moana: How Far I'll Award</t>
  </si>
  <si>
    <t>AL303</t>
  </si>
  <si>
    <t>Alejandro Lopez</t>
  </si>
  <si>
    <t>Mexico</t>
  </si>
  <si>
    <t>989-28-79-69359-6</t>
  </si>
  <si>
    <t>BB194</t>
  </si>
  <si>
    <t>Ballinby Boys</t>
  </si>
  <si>
    <t>AM329</t>
  </si>
  <si>
    <t>Arthur Morgan</t>
  </si>
  <si>
    <t>989-28-654-6930-3</t>
  </si>
  <si>
    <t>ESP</t>
  </si>
  <si>
    <t>Etaoin Shrdlu Press</t>
  </si>
  <si>
    <t>Seattle</t>
  </si>
  <si>
    <t>Washington</t>
  </si>
  <si>
    <t>989-28-79-70597-8</t>
  </si>
  <si>
    <t>NC652</t>
  </si>
  <si>
    <t>Nothing But Capers</t>
  </si>
  <si>
    <t>AS443</t>
  </si>
  <si>
    <t>Alison Smith</t>
  </si>
  <si>
    <t>National Book Award</t>
  </si>
  <si>
    <t>989-28-79-43574-5</t>
  </si>
  <si>
    <t>989-28-79-52883-6</t>
  </si>
  <si>
    <t>WT707</t>
  </si>
  <si>
    <t>The Witcher: Toss a Coin to Your Writer</t>
  </si>
  <si>
    <t>AS777</t>
  </si>
  <si>
    <t>Anya Stark</t>
  </si>
  <si>
    <t>AD222</t>
  </si>
  <si>
    <t>Alanna Saves the Day</t>
  </si>
  <si>
    <t>BH149</t>
  </si>
  <si>
    <t>Beth Harper</t>
  </si>
  <si>
    <t>Caldecott Medal</t>
  </si>
  <si>
    <t>989-28-654-5794-2</t>
  </si>
  <si>
    <t>CHP</t>
  </si>
  <si>
    <t>Cedar House Publishers</t>
  </si>
  <si>
    <t>Friday Harbor</t>
  </si>
  <si>
    <t>SE355</t>
  </si>
  <si>
    <t>Among Us: The Impostor's Diary</t>
  </si>
  <si>
    <t>BT987</t>
  </si>
  <si>
    <t>Ben Thompson</t>
  </si>
  <si>
    <t>Canada</t>
  </si>
  <si>
    <t>989-28-3705-987-7</t>
  </si>
  <si>
    <t>HP265</t>
  </si>
  <si>
    <t>Wednesday Addams: A Darker Diary</t>
  </si>
  <si>
    <t>CA421</t>
  </si>
  <si>
    <t>Chloe Anderson</t>
  </si>
  <si>
    <t>989-28-79-82197-5</t>
  </si>
  <si>
    <t>CH391</t>
  </si>
  <si>
    <t>The Spark and The Ashes</t>
  </si>
  <si>
    <t>CK310</t>
  </si>
  <si>
    <t>Caleb King</t>
  </si>
  <si>
    <t>989-28-654-0047-4</t>
  </si>
  <si>
    <t>PN303</t>
  </si>
  <si>
    <t>The Peanuts Movie: Good Grief</t>
  </si>
  <si>
    <t>CL432</t>
  </si>
  <si>
    <t>Charlie Lee</t>
  </si>
  <si>
    <t>989-28-79-36485-4</t>
  </si>
  <si>
    <t>DY800</t>
  </si>
  <si>
    <t>Wakanda Forever: The Story</t>
  </si>
  <si>
    <t>CM555</t>
  </si>
  <si>
    <t>Cameron Moore</t>
  </si>
  <si>
    <t>989-28-654-4370-9</t>
  </si>
  <si>
    <t>FZ808</t>
  </si>
  <si>
    <t>Frozen: Let it Award</t>
  </si>
  <si>
    <t>CM919</t>
  </si>
  <si>
    <t>Carmen Mendoza</t>
  </si>
  <si>
    <t>Argentina</t>
  </si>
  <si>
    <t>989-28-79-16533-8</t>
  </si>
  <si>
    <t>EN606</t>
  </si>
  <si>
    <t>Encanto: We Don't Talk About Awards</t>
  </si>
  <si>
    <t>989-28-79-16808-7</t>
  </si>
  <si>
    <t>TH296</t>
  </si>
  <si>
    <t>Inconvenient Confessions: a memoir</t>
  </si>
  <si>
    <t>CP598</t>
  </si>
  <si>
    <t>Carl Parker</t>
  </si>
  <si>
    <t>Pulitzer</t>
  </si>
  <si>
    <t>989-28-3705-054-6</t>
  </si>
  <si>
    <t>CP573</t>
  </si>
  <si>
    <t>The One Where Ross Got High</t>
  </si>
  <si>
    <t>DG431</t>
  </si>
  <si>
    <t>David Grant</t>
  </si>
  <si>
    <t>989-28-79-87459-9</t>
  </si>
  <si>
    <t>AM124</t>
  </si>
  <si>
    <t>A Very Potter Sequel</t>
  </si>
  <si>
    <t>DG768</t>
  </si>
  <si>
    <t>Derek Gordon</t>
  </si>
  <si>
    <t>989-28-654-8573-0</t>
  </si>
  <si>
    <t>CM505</t>
  </si>
  <si>
    <t>Community: Six Seasons and a Movie</t>
  </si>
  <si>
    <t>DH333</t>
  </si>
  <si>
    <t>Danny Hill</t>
  </si>
  <si>
    <t>989-28-79-11297-4</t>
  </si>
  <si>
    <t>IG460</t>
  </si>
  <si>
    <t>Stranger Things: The Upside Down Diaries</t>
  </si>
  <si>
    <t>DM201</t>
  </si>
  <si>
    <t>Diana Morales</t>
  </si>
  <si>
    <t>989-28-229-5891-8</t>
  </si>
  <si>
    <t>SSC</t>
  </si>
  <si>
    <t>Sound &amp; Seas Co.</t>
  </si>
  <si>
    <t>Dunedin</t>
  </si>
  <si>
    <t>Otago</t>
  </si>
  <si>
    <t>New Zealand</t>
  </si>
  <si>
    <t>BF889</t>
  </si>
  <si>
    <t>The Chronicles of Baby Yoda</t>
  </si>
  <si>
    <t>DM540</t>
  </si>
  <si>
    <t>Daniel Morales</t>
  </si>
  <si>
    <t>989-28-79-69807-2</t>
  </si>
  <si>
    <t>BF374</t>
  </si>
  <si>
    <t>Grogu's Guide to the Galaxy</t>
  </si>
  <si>
    <t>Young Reader's Choice Award</t>
  </si>
  <si>
    <t>989-28-79-32105-5</t>
  </si>
  <si>
    <t>ST862</t>
  </si>
  <si>
    <t>Drake: Views from the Awards</t>
  </si>
  <si>
    <t>DR777</t>
  </si>
  <si>
    <t>Drake Graham</t>
  </si>
  <si>
    <t>989-28-3705-649-4</t>
  </si>
  <si>
    <t>DR914</t>
  </si>
  <si>
    <t>The Crown: A Royal History</t>
  </si>
  <si>
    <t>ED600</t>
  </si>
  <si>
    <t>Edward Davis</t>
  </si>
  <si>
    <t>989-28-79-14379-4</t>
  </si>
  <si>
    <t>MW621</t>
  </si>
  <si>
    <t>Fifty Shades of Grey's Anatomy</t>
  </si>
  <si>
    <t>EL123</t>
  </si>
  <si>
    <t>Elizabeth Lane</t>
  </si>
  <si>
    <t>989-28-3705-633-3</t>
  </si>
  <si>
    <t>TP887</t>
  </si>
  <si>
    <t>Hashtag QuokkaSelfie</t>
  </si>
  <si>
    <t>EL233</t>
  </si>
  <si>
    <t>Emma Lewis</t>
  </si>
  <si>
    <t>989-28-79-82749-6</t>
  </si>
  <si>
    <t>TO369</t>
  </si>
  <si>
    <t>The Baby Shark Songbook</t>
  </si>
  <si>
    <t>FC678</t>
  </si>
  <si>
    <t>Francesca Costa</t>
  </si>
  <si>
    <t>Italy</t>
  </si>
  <si>
    <t>989-28-79-13871-4</t>
  </si>
  <si>
    <t>CC505</t>
  </si>
  <si>
    <t>Cocomelon: Baby Shark Strikes Back</t>
  </si>
  <si>
    <t>989-28-654-5018-9</t>
  </si>
  <si>
    <t>DE571</t>
  </si>
  <si>
    <t>Game of Phones: A Battle for Battery</t>
  </si>
  <si>
    <t>FP244</t>
  </si>
  <si>
    <t>Francisco Perez</t>
  </si>
  <si>
    <t>Spain</t>
  </si>
  <si>
    <t>989-28-3705-583-1</t>
  </si>
  <si>
    <t>TI225</t>
  </si>
  <si>
    <t>The Shire's Cookbook</t>
  </si>
  <si>
    <t>FT112</t>
  </si>
  <si>
    <t>Francis Tully</t>
  </si>
  <si>
    <t>Ireland</t>
  </si>
  <si>
    <t>989-28-654-7965-4</t>
  </si>
  <si>
    <t>PP866</t>
  </si>
  <si>
    <t>The Mallemaroking</t>
  </si>
  <si>
    <t>FT390</t>
  </si>
  <si>
    <t>Felix Thompson</t>
  </si>
  <si>
    <t>Nebula Award</t>
  </si>
  <si>
    <t>989-28-79-68089-3</t>
  </si>
  <si>
    <t>IA439</t>
  </si>
  <si>
    <t>The Winds of Winter</t>
  </si>
  <si>
    <t>GM001</t>
  </si>
  <si>
    <t>George Martin</t>
  </si>
  <si>
    <t>989-28-229-7592-2</t>
  </si>
  <si>
    <t>TH556</t>
  </si>
  <si>
    <t>Barbie: Life in Plastic</t>
  </si>
  <si>
    <t>GR900</t>
  </si>
  <si>
    <t>Grace Robinson</t>
  </si>
  <si>
    <t>989-28-79-61125-5</t>
  </si>
  <si>
    <t>SB404</t>
  </si>
  <si>
    <t>SpongeBob: A Pineapple Memoir</t>
  </si>
  <si>
    <t>HD222</t>
  </si>
  <si>
    <t>Hannah Doyle</t>
  </si>
  <si>
    <t>989-28-79-68531-7</t>
  </si>
  <si>
    <t>989-28-79-21991-8</t>
  </si>
  <si>
    <t>TT773</t>
  </si>
  <si>
    <t>Rick &amp; Morty: Infinite Awards</t>
  </si>
  <si>
    <t>HR001</t>
  </si>
  <si>
    <t>Henry Richards</t>
  </si>
  <si>
    <t>989-28-3705-775-0</t>
  </si>
  <si>
    <t>SQ606</t>
  </si>
  <si>
    <t>Squid Game: Green Light, Red Light</t>
  </si>
  <si>
    <t>HW301</t>
  </si>
  <si>
    <t>Hyun Woo</t>
  </si>
  <si>
    <t>South Korea</t>
  </si>
  <si>
    <t>989-28-229-9769-6</t>
  </si>
  <si>
    <t>MM222</t>
  </si>
  <si>
    <t>The Minions' Masterplan</t>
  </si>
  <si>
    <t>IS989</t>
  </si>
  <si>
    <t>Isabel Santiago</t>
  </si>
  <si>
    <t>989-28-79-26824-4</t>
  </si>
  <si>
    <t>989-28-79-56856-6</t>
  </si>
  <si>
    <t>DG384</t>
  </si>
  <si>
    <t>Succession: You're Not Serious People</t>
  </si>
  <si>
    <t>JA555</t>
  </si>
  <si>
    <t>Jonathan Adler</t>
  </si>
  <si>
    <t>989-28-3705-136-9</t>
  </si>
  <si>
    <t>BL101</t>
  </si>
  <si>
    <t>Bluey: Life Lessons</t>
  </si>
  <si>
    <t>JC654</t>
  </si>
  <si>
    <t>Jordan Collins</t>
  </si>
  <si>
    <t>989-28-79-96705-5</t>
  </si>
  <si>
    <t>BE808</t>
  </si>
  <si>
    <t>The Bear: Yes Chef</t>
  </si>
  <si>
    <t>JD400</t>
  </si>
  <si>
    <t>Jake Daniels</t>
  </si>
  <si>
    <t>989-28-79-74374-1</t>
  </si>
  <si>
    <t>WG715</t>
  </si>
  <si>
    <t>The Mandalorian: This is the Way</t>
  </si>
  <si>
    <t>JF555</t>
  </si>
  <si>
    <t>John Foster</t>
  </si>
  <si>
    <t>989-28-79-91028-0</t>
  </si>
  <si>
    <t>AD333</t>
  </si>
  <si>
    <t>Arrested Development: There's Always Money</t>
  </si>
  <si>
    <t>JH710</t>
  </si>
  <si>
    <t>Joseph Harris</t>
  </si>
  <si>
    <t>989-28-654-3899-6</t>
  </si>
  <si>
    <t>989-28-79-03683-6</t>
  </si>
  <si>
    <t>SW909</t>
  </si>
  <si>
    <t>Star Wars: Rise of Skywalker Script</t>
  </si>
  <si>
    <t>JJ510</t>
  </si>
  <si>
    <t>J.J. Abrams</t>
  </si>
  <si>
    <t>989-28-79-55824-6</t>
  </si>
  <si>
    <t>KA663</t>
  </si>
  <si>
    <t>Harry Potter and the Adulting Crisis</t>
  </si>
  <si>
    <t>JK001</t>
  </si>
  <si>
    <t>Joanne Rowling</t>
  </si>
  <si>
    <t>989-28-3705-222-9</t>
  </si>
  <si>
    <t>BR858</t>
  </si>
  <si>
    <t>Dobby's Sock Collection</t>
  </si>
  <si>
    <t>989-28-3705-592-3</t>
  </si>
  <si>
    <t>ZT703</t>
  </si>
  <si>
    <t>Rystwyth</t>
  </si>
  <si>
    <t>JK201</t>
  </si>
  <si>
    <t>Joanne Knight</t>
  </si>
  <si>
    <t>989-28-79-18127-7</t>
  </si>
  <si>
    <t>OB404</t>
  </si>
  <si>
    <t>Outer Banks: The Pogues' Treasure</t>
  </si>
  <si>
    <t>JP205</t>
  </si>
  <si>
    <t>John Porter</t>
  </si>
  <si>
    <t>989-28-79-64693-6</t>
  </si>
  <si>
    <t>BR303</t>
  </si>
  <si>
    <t>Bridgerton: Lady Whistledown's Secrets</t>
  </si>
  <si>
    <t>JQ410</t>
  </si>
  <si>
    <t>Julia Quinn</t>
  </si>
  <si>
    <t>989-28-79-86624-2</t>
  </si>
  <si>
    <t>BC244</t>
  </si>
  <si>
    <t>Avengers: Endgame - The Novelization</t>
  </si>
  <si>
    <t>JR221</t>
  </si>
  <si>
    <t>Jessica Roberts</t>
  </si>
  <si>
    <t>989-28-229-6632-6</t>
  </si>
  <si>
    <t>MI404</t>
  </si>
  <si>
    <t>Marvel: Infinity War - Snap Judgements</t>
  </si>
  <si>
    <t>989-28-79-27078-0</t>
  </si>
  <si>
    <t>KR909</t>
  </si>
  <si>
    <t>Kermit: It's Not Easy Being Green</t>
  </si>
  <si>
    <t>JS001</t>
  </si>
  <si>
    <t>James Smith</t>
  </si>
  <si>
    <t>989-28-3705-369-1</t>
  </si>
  <si>
    <t>989-28-3705-007-2</t>
  </si>
  <si>
    <t>TT359</t>
  </si>
  <si>
    <t>Minecraft: A Blocky Journey</t>
  </si>
  <si>
    <t>JS098</t>
  </si>
  <si>
    <t>Jenny Scott</t>
  </si>
  <si>
    <t>989-28-79-82125-8</t>
  </si>
  <si>
    <t>NP937</t>
  </si>
  <si>
    <t>Ted Lasso: Believe</t>
  </si>
  <si>
    <t>JS876</t>
  </si>
  <si>
    <t>Julia Simmons</t>
  </si>
  <si>
    <t>989-28-79-23015-9</t>
  </si>
  <si>
    <t>MM424</t>
  </si>
  <si>
    <t>We're Sisters and We Kinda Like Each Other</t>
  </si>
  <si>
    <t>KM451</t>
  </si>
  <si>
    <t>Kim Martinez</t>
  </si>
  <si>
    <t>989-28-79-45675-7</t>
  </si>
  <si>
    <t>RH111</t>
  </si>
  <si>
    <t>The Real Housewives of Award County</t>
  </si>
  <si>
    <t>989-28-79-82339-9</t>
  </si>
  <si>
    <t>AY135</t>
  </si>
  <si>
    <t>(im)Mortality</t>
  </si>
  <si>
    <t>LA229</t>
  </si>
  <si>
    <t>Lina Andersson</t>
  </si>
  <si>
    <t>Sweden</t>
  </si>
  <si>
    <t>989-28-229-1404-4</t>
  </si>
  <si>
    <t>RR774</t>
  </si>
  <si>
    <t>No More Lightning</t>
  </si>
  <si>
    <t>LH442</t>
  </si>
  <si>
    <t>Laura Hayes</t>
  </si>
  <si>
    <t>Man Booker</t>
  </si>
  <si>
    <t>989-28-79-22871-2</t>
  </si>
  <si>
    <t>BB505</t>
  </si>
  <si>
    <t>Bob's Burgers: The Cookbook</t>
  </si>
  <si>
    <t>LJ500</t>
  </si>
  <si>
    <t>Lisa Jenkins</t>
  </si>
  <si>
    <t>989-28-79-55752-2</t>
  </si>
  <si>
    <t>TC188</t>
  </si>
  <si>
    <t>Portmeirion</t>
  </si>
  <si>
    <t>LS812</t>
  </si>
  <si>
    <t>Lucas Sinclair</t>
  </si>
  <si>
    <t>989-28-79-04510-4</t>
  </si>
  <si>
    <t>TA182</t>
  </si>
  <si>
    <t>TikTok Dances: A Generation in Motion</t>
  </si>
  <si>
    <t>LY300</t>
  </si>
  <si>
    <t>Li Yan</t>
  </si>
  <si>
    <t>China</t>
  </si>
  <si>
    <t>989-28-79-51397-9</t>
  </si>
  <si>
    <t>BA202</t>
  </si>
  <si>
    <t>The Bachelor: Final Rose Ceremony</t>
  </si>
  <si>
    <t>MC333</t>
  </si>
  <si>
    <t>Mariah Carey</t>
  </si>
  <si>
    <t>989-28-654-3988-7</t>
  </si>
  <si>
    <t>SP111</t>
  </si>
  <si>
    <t>Simpsons: 30 Years of Donuts</t>
  </si>
  <si>
    <t>MG123</t>
  </si>
  <si>
    <t>Matthew Green</t>
  </si>
  <si>
    <t>989-28-3705-492-6</t>
  </si>
  <si>
    <t>989-28-229-3157-7</t>
  </si>
  <si>
    <t>NB483</t>
  </si>
  <si>
    <t>Dunder Mifflin: A Paper Empire</t>
  </si>
  <si>
    <t>MG888</t>
  </si>
  <si>
    <t>Mary Green</t>
  </si>
  <si>
    <t>989-28-79-42728-3</t>
  </si>
  <si>
    <t>WK456</t>
  </si>
  <si>
    <t>The Office: That's What She Said</t>
  </si>
  <si>
    <t>989-28-79-40897-8</t>
  </si>
  <si>
    <t>NR202</t>
  </si>
  <si>
    <t>Naruto: Believe It!</t>
  </si>
  <si>
    <t>MK300</t>
  </si>
  <si>
    <t>Masashi Kishimoto</t>
  </si>
  <si>
    <t>989-28-79-23023-4</t>
  </si>
  <si>
    <t>PA169</t>
  </si>
  <si>
    <t>Post Alley</t>
  </si>
  <si>
    <t>MP235</t>
  </si>
  <si>
    <t>Michael Peterson</t>
  </si>
  <si>
    <t>Agatha Award</t>
  </si>
  <si>
    <t>989-28-654-5771-3</t>
  </si>
  <si>
    <t>989-28-79-44730-4</t>
  </si>
  <si>
    <t>GB505</t>
  </si>
  <si>
    <t>The Great British Bake Off: A Cookbook</t>
  </si>
  <si>
    <t>MP745</t>
  </si>
  <si>
    <t>Mark Phillips</t>
  </si>
  <si>
    <t>WO506</t>
  </si>
  <si>
    <t>The Last of Us: The Cordyceps Chronicles</t>
  </si>
  <si>
    <t>ND433</t>
  </si>
  <si>
    <t>Noah Delgado</t>
  </si>
  <si>
    <t>989-28-3705-152-9</t>
  </si>
  <si>
    <t>TM925</t>
  </si>
  <si>
    <t>Cimornul</t>
  </si>
  <si>
    <t>ND509</t>
  </si>
  <si>
    <t>Nadia Dimitrov</t>
  </si>
  <si>
    <t>Bulgaria</t>
  </si>
  <si>
    <t>989-28-79-01991-4</t>
  </si>
  <si>
    <t>AK974</t>
  </si>
  <si>
    <t>The Book of Memes</t>
  </si>
  <si>
    <t>ND987</t>
  </si>
  <si>
    <t>Nina Dobrev</t>
  </si>
  <si>
    <t>989-28-79-05670-4</t>
  </si>
  <si>
    <t>SS361</t>
  </si>
  <si>
    <t>Elon Musk: The SpaceX Files</t>
  </si>
  <si>
    <t>NR456</t>
  </si>
  <si>
    <t>Naomi Richards</t>
  </si>
  <si>
    <t>989-28-3705-966-2</t>
  </si>
  <si>
    <t>LS176</t>
  </si>
  <si>
    <t>Saint Esme</t>
  </si>
  <si>
    <t>NT754</t>
  </si>
  <si>
    <t>Nathaniel Turner</t>
  </si>
  <si>
    <t>RITA Award</t>
  </si>
  <si>
    <t>989-28-79-30536-9</t>
  </si>
  <si>
    <t>NR695</t>
  </si>
  <si>
    <t>the life and times of an utterly inconsequential person</t>
  </si>
  <si>
    <t>OB678</t>
  </si>
  <si>
    <t>Oliver Brown</t>
  </si>
  <si>
    <t>PEN/Faulkner Award</t>
  </si>
  <si>
    <t>989-28-654-2620-7</t>
  </si>
  <si>
    <t>RA909</t>
  </si>
  <si>
    <t>Rick Astley: Never Gonna Win</t>
  </si>
  <si>
    <t>RA000</t>
  </si>
  <si>
    <t>Rick Astley</t>
  </si>
  <si>
    <t>989-28-3705-205-2</t>
  </si>
  <si>
    <t>BJ222</t>
  </si>
  <si>
    <t>BoJack Horseman: Hollywood Ending</t>
  </si>
  <si>
    <t>RF090</t>
  </si>
  <si>
    <t>Rachel Fisher</t>
  </si>
  <si>
    <t>989-28-654-6507-7</t>
  </si>
  <si>
    <t>IC739</t>
  </si>
  <si>
    <t>The Legend of Netflix: From DVDs to Domination</t>
  </si>
  <si>
    <t>RH898</t>
  </si>
  <si>
    <t>Richard Hunt</t>
  </si>
  <si>
    <t>989-28-79-22562-9</t>
  </si>
  <si>
    <t>TH143</t>
  </si>
  <si>
    <t>The Ballad of Peppa Pig</t>
  </si>
  <si>
    <t>RM213</t>
  </si>
  <si>
    <t>Rebecca Miller</t>
  </si>
  <si>
    <t>989-28-654-9826-6</t>
  </si>
  <si>
    <t>TC401</t>
  </si>
  <si>
    <t>Katniss Everdeen's Cookbook</t>
  </si>
  <si>
    <t>SC109</t>
  </si>
  <si>
    <t>Sofia Cruz</t>
  </si>
  <si>
    <t>989-28-654-6033-1</t>
  </si>
  <si>
    <t>CC830</t>
  </si>
  <si>
    <t>Mario Kart: Behind the Banana Peels</t>
  </si>
  <si>
    <t>SH754</t>
  </si>
  <si>
    <t>Samuel Hughes</t>
  </si>
  <si>
    <t>989-28-79-71565-6</t>
  </si>
  <si>
    <t>PG606</t>
  </si>
  <si>
    <t>PokÃ©mon Go: The Summer We All Walked</t>
  </si>
  <si>
    <t>989-28-654-2017-5</t>
  </si>
  <si>
    <t>989-28-79-16826-1</t>
  </si>
  <si>
    <t>HS107</t>
  </si>
  <si>
    <t>The Adventures of Pikachu</t>
  </si>
  <si>
    <t>SK654</t>
  </si>
  <si>
    <t>Shigeru Kato</t>
  </si>
  <si>
    <t>989-28-3705-607-4</t>
  </si>
  <si>
    <t>LI505</t>
  </si>
  <si>
    <t>Love Island: Text!</t>
  </si>
  <si>
    <t>SL801</t>
  </si>
  <si>
    <t>Samantha Lee</t>
  </si>
  <si>
    <t>989-28-654-9484-8</t>
  </si>
  <si>
    <t>LB510</t>
  </si>
  <si>
    <t>Twilight: Edward's Side of the Story</t>
  </si>
  <si>
    <t>SM101</t>
  </si>
  <si>
    <t>Sara Morgan</t>
  </si>
  <si>
    <t>989-28-79-13801-1</t>
  </si>
  <si>
    <t>EU707</t>
  </si>
  <si>
    <t>Euphoria: Glitter and Tears</t>
  </si>
  <si>
    <t>SM232</t>
  </si>
  <si>
    <t>Sidney Meyer</t>
  </si>
  <si>
    <t>989-28-3705-763-7</t>
  </si>
  <si>
    <t>ST303</t>
  </si>
  <si>
    <t>Taylor Swift: All Too Well - 10 Minute Version</t>
  </si>
  <si>
    <t>TS013</t>
  </si>
  <si>
    <t>Taylor Swift</t>
  </si>
  <si>
    <t>989-28-79-07610-8</t>
  </si>
  <si>
    <t>NL209</t>
  </si>
  <si>
    <t>Heliotrope Pajamas</t>
  </si>
  <si>
    <t>VC764</t>
  </si>
  <si>
    <t>Victoria Chen</t>
  </si>
  <si>
    <t>Singapore</t>
  </si>
  <si>
    <t>Newberry Medal</t>
  </si>
  <si>
    <t>989-28-79-67891-3</t>
  </si>
  <si>
    <t>SS693</t>
  </si>
  <si>
    <t>Breaking Bad: A Chemistry Memoir</t>
  </si>
  <si>
    <t>VG454</t>
  </si>
  <si>
    <t>Victor Garcia</t>
  </si>
  <si>
    <t>989-28-654-0127-3</t>
  </si>
  <si>
    <t>isbn</t>
  </si>
  <si>
    <t>book_id</t>
  </si>
  <si>
    <t>pub_id</t>
  </si>
  <si>
    <t>format</t>
  </si>
  <si>
    <t>publication_date</t>
  </si>
  <si>
    <t>pages</t>
  </si>
  <si>
    <t>print_run_size_k</t>
  </si>
  <si>
    <t>price</t>
  </si>
  <si>
    <t>marketing_spend</t>
  </si>
  <si>
    <t>award</t>
  </si>
  <si>
    <t>award_name</t>
  </si>
  <si>
    <t>award_won_year</t>
  </si>
  <si>
    <t>author_id</t>
  </si>
  <si>
    <t>author_name</t>
  </si>
  <si>
    <t>author_birthday</t>
  </si>
  <si>
    <t>author_residency_country</t>
  </si>
  <si>
    <t>hrs_writing_per_day</t>
  </si>
  <si>
    <t>title</t>
  </si>
  <si>
    <t>publishing_house</t>
  </si>
  <si>
    <t>publisher_city</t>
  </si>
  <si>
    <t>publisher_country</t>
  </si>
  <si>
    <t>publisher_state</t>
  </si>
  <si>
    <t>publisher_founded_year</t>
  </si>
  <si>
    <t>publisher_name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</si>
</sst>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_-* #,##0\ [$€-407]_-;\-* #,##0\ [$€-407]_-;_-* &quot;-&quot;??\ [$€-407]_-;_-@_-"/>
  </numFmts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NumberFormat="1"/>
    <xf numFmtId="14" fontId="0" fillId="0" borderId="0" xfId="0" applyNumberFormat="1"/>
    <xf numFmtId="0" fontId="0" fillId="0" borderId="0" xfId="0" applyFont="1"/>
    <xf numFmtId="168" fontId="0" fillId="0" borderId="0" xfId="0" applyNumberFormat="1"/>
    <xf numFmtId="168" fontId="0" fillId="0" borderId="0" xfId="0" applyNumberFormat="1" applyFont="1"/>
    <xf numFmtId="0" fontId="0" fillId="2" borderId="0" xfId="0" applyFont="1" applyFill="1"/>
  </cellXfs>
  <cellStyles count="1">
    <cellStyle name="Standard" xfId="0" builtinId="0"/>
  </cellStyles>
  <dxfs count="3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8" formatCode="_-* #,##0\ [$€-407]_-;\-* #,##0\ [$€-407]_-;_-* &quot;-&quot;??\ [$€-407]_-;_-@_-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495300</xdr:colOff>
      <xdr:row>1</xdr:row>
      <xdr:rowOff>15240</xdr:rowOff>
    </xdr:from>
    <xdr:to>
      <xdr:col>10</xdr:col>
      <xdr:colOff>342900</xdr:colOff>
      <xdr:row>27</xdr:row>
      <xdr:rowOff>115645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4E42FDCA-86E7-4409-B83A-7874A0502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95300" y="198120"/>
          <a:ext cx="7772400" cy="4855285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eDaten_1" connectionId="1" xr16:uid="{D2ABA2FA-F515-46C6-B371-E839DB0F504F}" autoFormatId="16" applyNumberFormats="0" applyBorderFormats="0" applyFontFormats="0" applyPatternFormats="0" applyAlignmentFormats="0" applyWidthHeightFormats="0">
  <queryTableRefresh nextId="23">
    <queryTableFields count="22">
      <queryTableField id="1" name="BookID" tableColumnId="1"/>
      <queryTableField id="2" name="Title" tableColumnId="2"/>
      <queryTableField id="3" name="AuthID" tableColumnId="3"/>
      <queryTableField id="4" name="Name" tableColumnId="4"/>
      <queryTableField id="5" name="Birthday" tableColumnId="5"/>
      <queryTableField id="6" name="Country of Residence" tableColumnId="6"/>
      <queryTableField id="7" name="Hrs Writing per Day" tableColumnId="7"/>
      <queryTableField id="8" name="Award Name" tableColumnId="8"/>
      <queryTableField id="9" name="Year Won" tableColumnId="9"/>
      <queryTableField id="10" name="ISBN" tableColumnId="10"/>
      <queryTableField id="11" name="Format" tableColumnId="11"/>
      <queryTableField id="12" name="PubID" tableColumnId="12"/>
      <queryTableField id="13" name="Publication Date" tableColumnId="13"/>
      <queryTableField id="14" name="Pages" tableColumnId="14"/>
      <queryTableField id="15" name="Print Run Size (k)" tableColumnId="15"/>
      <queryTableField id="16" name="Price" tableColumnId="16"/>
      <queryTableField id="17" name="Publishing House" tableColumnId="17"/>
      <queryTableField id="18" name="City" tableColumnId="18"/>
      <queryTableField id="19" name="State" tableColumnId="19"/>
      <queryTableField id="20" name="Country" tableColumnId="20"/>
      <queryTableField id="21" name="Year Established" tableColumnId="21"/>
      <queryTableField id="22" name="Marketing Spend" tableColumnId="2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5576FB1-212F-4D01-AF4A-ED995384A56E}" name="Bookshop" displayName="Bookshop" ref="A1:V99" tableType="queryTable" totalsRowShown="0">
  <autoFilter ref="A1:V99" xr:uid="{15576FB1-212F-4D01-AF4A-ED995384A56E}"/>
  <tableColumns count="22">
    <tableColumn id="1" xr3:uid="{9BC65435-E7EA-4D71-A787-DCBA50205F9A}" uniqueName="1" name="BookID" queryTableFieldId="1" dataDxfId="36"/>
    <tableColumn id="2" xr3:uid="{F1C0EA76-FB7C-4631-9B69-0CF2D94ECC78}" uniqueName="2" name="Title" queryTableFieldId="2" dataDxfId="35"/>
    <tableColumn id="3" xr3:uid="{82D70131-A5E1-4309-A53C-EB418F65C018}" uniqueName="3" name="AuthID" queryTableFieldId="3" dataDxfId="34"/>
    <tableColumn id="4" xr3:uid="{D27E8CF4-C347-4EB8-8AE7-A3CB92617DC5}" uniqueName="4" name="Name" queryTableFieldId="4" dataDxfId="33"/>
    <tableColumn id="5" xr3:uid="{2B844B88-B9C5-4D6D-9215-72976997FC5C}" uniqueName="5" name="Birthday" queryTableFieldId="5" dataDxfId="32"/>
    <tableColumn id="6" xr3:uid="{421E16E7-D31E-4746-BAF7-746F7B2433B0}" uniqueName="6" name="Country of Residence" queryTableFieldId="6" dataDxfId="31"/>
    <tableColumn id="7" xr3:uid="{B4FB6C7E-AB9D-4B98-98ED-0F099523CF05}" uniqueName="7" name="Hrs Writing per Day" queryTableFieldId="7"/>
    <tableColumn id="8" xr3:uid="{A4587779-8AC5-48D8-A5A4-69DBB9E0B153}" uniqueName="8" name="Award Name" queryTableFieldId="8" dataDxfId="30"/>
    <tableColumn id="9" xr3:uid="{32D9F09B-FDDE-4D62-B180-AFBA04972608}" uniqueName="9" name="Year Won" queryTableFieldId="9"/>
    <tableColumn id="10" xr3:uid="{99098A86-7EB7-4539-B1FB-93B37600C38C}" uniqueName="10" name="ISBN" queryTableFieldId="10" dataDxfId="29"/>
    <tableColumn id="11" xr3:uid="{9F56A7E7-27CC-4698-B3A8-ABDD87AE1DE0}" uniqueName="11" name="Format" queryTableFieldId="11" dataDxfId="28"/>
    <tableColumn id="12" xr3:uid="{73B0EC17-472C-41FD-8963-A7911254E007}" uniqueName="12" name="PubID" queryTableFieldId="12" dataDxfId="27"/>
    <tableColumn id="13" xr3:uid="{CDF7ADD0-5547-456F-BA82-E28E4FC009E8}" uniqueName="13" name="Publication Date" queryTableFieldId="13" dataDxfId="26"/>
    <tableColumn id="14" xr3:uid="{282104B0-962C-42D5-A922-EB6D90A37640}" uniqueName="14" name="Pages" queryTableFieldId="14"/>
    <tableColumn id="15" xr3:uid="{58714F84-DB3E-4F18-9E82-2D63D2345F2A}" uniqueName="15" name="Print Run Size (k)" queryTableFieldId="15"/>
    <tableColumn id="16" xr3:uid="{FE5C7529-BA91-46CD-874F-090E4C8B3113}" uniqueName="16" name="Price" queryTableFieldId="16"/>
    <tableColumn id="17" xr3:uid="{A6A0B832-428F-4649-BBD8-8E0293E4A70B}" uniqueName="17" name="Publishing House" queryTableFieldId="17" dataDxfId="25"/>
    <tableColumn id="18" xr3:uid="{E0410D32-65BC-4FAA-90AC-8033E37735A3}" uniqueName="18" name="City" queryTableFieldId="18" dataDxfId="24"/>
    <tableColumn id="19" xr3:uid="{881B7D07-2589-4398-BE51-2DFC3D380947}" uniqueName="19" name="State" queryTableFieldId="19" dataDxfId="23"/>
    <tableColumn id="20" xr3:uid="{7648661F-C226-437D-B42A-F55E668ABB61}" uniqueName="20" name="Country" queryTableFieldId="20" dataDxfId="22"/>
    <tableColumn id="21" xr3:uid="{6BE838DD-83E2-46A4-9782-5AAFE67468FE}" uniqueName="21" name="Year Established" queryTableFieldId="21"/>
    <tableColumn id="22" xr3:uid="{119D8BC7-9B07-4C0A-A69C-A8112FA9B95D}" uniqueName="22" name="Marketing Spend" queryTableFieldId="2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5EFF12AD-C72A-4C77-A5BE-C943EAA934F0}" name="Tabelle_Book_Edition" displayName="Tabelle_Book_Edition" ref="A1:M96" totalsRowShown="0" headerRowDxfId="4">
  <autoFilter ref="A1:M96" xr:uid="{5EFF12AD-C72A-4C77-A5BE-C943EAA934F0}"/>
  <tableColumns count="13">
    <tableColumn id="1" xr3:uid="{1F009D97-D85B-44FF-A4AB-9A3A7FAA719C}" name="isbn" dataDxfId="10"/>
    <tableColumn id="2" xr3:uid="{B1583A11-C0C0-4746-AC89-7C1AE194E3EE}" name="book_id" dataDxfId="9"/>
    <tableColumn id="4" xr3:uid="{D71B32D7-481C-4647-8F73-57E82742B796}" name="pub_id" dataDxfId="7"/>
    <tableColumn id="3" xr3:uid="{F0E03BAF-402B-43FC-93BE-39CC5647E0F2}" name="format" dataDxfId="6"/>
    <tableColumn id="5" xr3:uid="{6EADD886-2D51-418F-9223-6ED4DEDFA2B7}" name="publication_date" dataDxfId="8"/>
    <tableColumn id="6" xr3:uid="{581FD212-9B8B-4F61-895F-2F778161776E}" name="pages"/>
    <tableColumn id="7" xr3:uid="{7E1EA68B-4382-47DE-A9C0-C3B67C2B5F53}" name="print_run_size_k"/>
    <tableColumn id="8" xr3:uid="{1761C6C8-D7DC-466D-B96F-79DF6C815C1E}" name="price"/>
    <tableColumn id="9" xr3:uid="{A9AB42B1-F858-40C7-9859-B143EF997282}" name="marketing_spend" dataDxfId="5"/>
    <tableColumn id="11" xr3:uid="{F3CD14CE-C931-40B3-85AE-A6D73A332326}" name="award" dataDxfId="3">
      <calculatedColumnFormula>_xlfn.XLOOKUP(Tabelle_Book_Edition[[#This Row],[book_id]],Award!A:A,Award!B:B,"",0)</calculatedColumnFormula>
    </tableColumn>
    <tableColumn id="12" xr3:uid="{31AD1B12-1E4B-40C1-867E-E37EBC2AAA08}" name="author_id" dataDxfId="2">
      <calculatedColumnFormula>_xlfn.XLOOKUP(Tabelle_Book_Edition[[#This Row],[book_id]],Book!A:A,Book!C:C,"",0)</calculatedColumnFormula>
    </tableColumn>
    <tableColumn id="13" xr3:uid="{3AA167B6-D69A-4BB1-88AD-514534B99FF8}" name="author_name" dataDxfId="1">
      <calculatedColumnFormula>_xlfn.XLOOKUP(Tabelle_Book_Edition[[#This Row],[author_id]],Author!A:A,Author!B:B,"",0)</calculatedColumnFormula>
    </tableColumn>
    <tableColumn id="14" xr3:uid="{8C668390-F2E2-436D-8EDA-3092BC3EA7E5}" name="publisher_name" dataDxfId="0">
      <calculatedColumnFormula>_xlfn.XLOOKUP(Tabelle_Book_Edition[[#This Row],[pub_id]],Publisher!A:A,Publisher!B:B,"",0)</calculatedColumnFormula>
    </tableColumn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873503A-1E1B-4E24-B235-2DFE94E60ED4}" name="Tabelle_Award" displayName="Tabelle_Award" ref="A1:C36" totalsRowShown="0">
  <autoFilter ref="A1:C36" xr:uid="{4873503A-1E1B-4E24-B235-2DFE94E60ED4}"/>
  <tableColumns count="3">
    <tableColumn id="1" xr3:uid="{65EFE5CA-8839-4749-9EDC-12494899409D}" name="book_id" dataDxfId="21"/>
    <tableColumn id="2" xr3:uid="{276EE08B-8832-4402-88DA-8A60717C5223}" name="award_name" dataDxfId="20"/>
    <tableColumn id="3" xr3:uid="{3B8234E1-51D5-463D-9F4F-27DD972F99D8}" name="award_won_year"/>
  </tableColumns>
  <tableStyleInfo name="TableStyleLight10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5616D-2778-4114-8A19-11E13959D3E9}" name="Tabelle_Author" displayName="Tabelle_Author" ref="A1:E80" totalsRowShown="0">
  <autoFilter ref="A1:E80" xr:uid="{E375616D-2778-4114-8A19-11E13959D3E9}"/>
  <tableColumns count="5">
    <tableColumn id="1" xr3:uid="{0ABE31AC-CE20-455B-A6DB-0398DB485429}" name="author_id" dataDxfId="19"/>
    <tableColumn id="2" xr3:uid="{9A316272-BB41-4477-8C54-86DD42E8A706}" name="author_name" dataDxfId="18"/>
    <tableColumn id="3" xr3:uid="{644D8043-7974-4ADB-BEAD-0D4DC1FBB2A2}" name="author_birthday" dataDxfId="17"/>
    <tableColumn id="4" xr3:uid="{F58AF955-23FF-49CD-B7A4-648D295ADCA6}" name="author_residency_country" dataDxfId="16"/>
    <tableColumn id="5" xr3:uid="{CA1A755A-8F36-462A-B0F3-36BFAABE2306}" name="hrs_writing_per_day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5EC4EC8-85FF-41FF-990D-B88C9B5D5C2E}" name="Tabelle_Book" displayName="Tabelle_Book" ref="A1:C89" totalsRowShown="0">
  <autoFilter ref="A1:C89" xr:uid="{65EC4EC8-85FF-41FF-990D-B88C9B5D5C2E}"/>
  <tableColumns count="3">
    <tableColumn id="1" xr3:uid="{954A541A-07D2-4746-B7E6-A84BE98A9B23}" name="book_id"/>
    <tableColumn id="2" xr3:uid="{D5D0C197-BFEE-4C5C-87D1-8D4F7ED030A3}" name="title"/>
    <tableColumn id="3" xr3:uid="{53008A17-A307-4FEB-93AF-BE7F3AC04353}" name="author_id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E992279-1969-4760-BB48-5EA654E451AC}" name="Publisher" displayName="Publisher" ref="A1:F5" totalsRowShown="0">
  <autoFilter ref="A1:F5" xr:uid="{6E992279-1969-4760-BB48-5EA654E451AC}"/>
  <tableColumns count="6">
    <tableColumn id="1" xr3:uid="{787E1365-564E-46EF-B22B-45B17CE94A72}" name="pub_id" dataDxfId="15"/>
    <tableColumn id="2" xr3:uid="{6A29967F-EFE4-424A-B913-5B54A0741687}" name="publishing_house" dataDxfId="14"/>
    <tableColumn id="3" xr3:uid="{CF19FFE0-29DB-431B-8F99-64B0FDF41D08}" name="publisher_city" dataDxfId="13"/>
    <tableColumn id="4" xr3:uid="{CAB23B61-46ED-4E50-8FB7-B11E9ADC8EBA}" name="publisher_state" dataDxfId="12"/>
    <tableColumn id="5" xr3:uid="{89ED22CC-5551-49C1-A8D2-DDE786DE99C4}" name="publisher_country" dataDxfId="11"/>
    <tableColumn id="6" xr3:uid="{7B8A3BB6-522D-430F-A7FB-C3A0499A9078}" name="publisher_founded_year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D48BB-F6BD-4E89-A4F4-D75A5DD3BA9A}">
  <dimension ref="A1:V99"/>
  <sheetViews>
    <sheetView workbookViewId="0">
      <selection activeCell="B20" sqref="B20"/>
    </sheetView>
  </sheetViews>
  <sheetFormatPr baseColWidth="10" defaultRowHeight="14.4" x14ac:dyDescent="0.3"/>
  <cols>
    <col min="1" max="1" width="9.109375" bestFit="1" customWidth="1"/>
    <col min="2" max="2" width="43.6640625" bestFit="1" customWidth="1"/>
    <col min="3" max="3" width="8.77734375" bestFit="1" customWidth="1"/>
    <col min="4" max="4" width="15.88671875" bestFit="1" customWidth="1"/>
    <col min="5" max="5" width="10.33203125" bestFit="1" customWidth="1"/>
    <col min="6" max="6" width="20.6640625" bestFit="1" customWidth="1"/>
    <col min="7" max="7" width="19.109375" bestFit="1" customWidth="1"/>
    <col min="8" max="8" width="24.88671875" bestFit="1" customWidth="1"/>
    <col min="9" max="9" width="10.88671875" bestFit="1" customWidth="1"/>
    <col min="10" max="10" width="16.77734375" bestFit="1" customWidth="1"/>
    <col min="11" max="11" width="9.6640625" bestFit="1" customWidth="1"/>
    <col min="12" max="12" width="8.21875" bestFit="1" customWidth="1"/>
    <col min="13" max="13" width="17" bestFit="1" customWidth="1"/>
    <col min="14" max="14" width="8.109375" bestFit="1" customWidth="1"/>
    <col min="15" max="15" width="17.21875" bestFit="1" customWidth="1"/>
    <col min="16" max="16" width="7.5546875" bestFit="1" customWidth="1"/>
    <col min="17" max="17" width="20.33203125" bestFit="1" customWidth="1"/>
    <col min="18" max="18" width="11.88671875" bestFit="1" customWidth="1"/>
    <col min="19" max="19" width="10.44140625" bestFit="1" customWidth="1"/>
    <col min="20" max="20" width="11.33203125" bestFit="1" customWidth="1"/>
    <col min="21" max="21" width="17" bestFit="1" customWidth="1"/>
    <col min="22" max="22" width="17.109375" bestFit="1" customWidth="1"/>
  </cols>
  <sheetData>
    <row r="1" spans="1:22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</row>
    <row r="2" spans="1:22" x14ac:dyDescent="0.3">
      <c r="A2" s="1" t="s">
        <v>22</v>
      </c>
      <c r="B2" s="1" t="s">
        <v>23</v>
      </c>
      <c r="C2" s="1" t="s">
        <v>24</v>
      </c>
      <c r="D2" s="1" t="s">
        <v>25</v>
      </c>
      <c r="E2" s="2">
        <v>27824</v>
      </c>
      <c r="F2" s="1" t="s">
        <v>26</v>
      </c>
      <c r="G2">
        <v>3</v>
      </c>
      <c r="H2" s="1" t="s">
        <v>27</v>
      </c>
      <c r="I2">
        <v>2024</v>
      </c>
      <c r="J2" s="1" t="s">
        <v>28</v>
      </c>
      <c r="K2" s="1" t="s">
        <v>29</v>
      </c>
      <c r="L2" s="1" t="s">
        <v>30</v>
      </c>
      <c r="M2" s="2">
        <v>43757</v>
      </c>
      <c r="N2">
        <v>350</v>
      </c>
      <c r="O2">
        <v>10</v>
      </c>
      <c r="P2">
        <v>2.75</v>
      </c>
      <c r="Q2" s="1" t="s">
        <v>31</v>
      </c>
      <c r="R2" s="1" t="s">
        <v>32</v>
      </c>
      <c r="S2" s="1" t="s">
        <v>33</v>
      </c>
      <c r="T2" s="1" t="s">
        <v>34</v>
      </c>
      <c r="U2">
        <v>2022</v>
      </c>
      <c r="V2">
        <v>48000</v>
      </c>
    </row>
    <row r="3" spans="1:22" x14ac:dyDescent="0.3">
      <c r="A3" s="1" t="s">
        <v>35</v>
      </c>
      <c r="B3" s="1" t="s">
        <v>36</v>
      </c>
      <c r="C3" s="1" t="s">
        <v>37</v>
      </c>
      <c r="D3" s="1" t="s">
        <v>38</v>
      </c>
      <c r="E3" s="2">
        <v>31674</v>
      </c>
      <c r="F3" s="1" t="s">
        <v>39</v>
      </c>
      <c r="G3">
        <v>4</v>
      </c>
      <c r="H3" s="1"/>
      <c r="J3" s="1" t="s">
        <v>40</v>
      </c>
      <c r="K3" s="1" t="s">
        <v>41</v>
      </c>
      <c r="L3" s="1" t="s">
        <v>30</v>
      </c>
      <c r="M3" s="2">
        <v>43774</v>
      </c>
      <c r="N3">
        <v>276</v>
      </c>
      <c r="O3">
        <v>18</v>
      </c>
      <c r="P3">
        <v>8.99</v>
      </c>
      <c r="Q3" s="1" t="s">
        <v>31</v>
      </c>
      <c r="R3" s="1" t="s">
        <v>32</v>
      </c>
      <c r="S3" s="1" t="s">
        <v>33</v>
      </c>
      <c r="T3" s="1" t="s">
        <v>34</v>
      </c>
      <c r="U3">
        <v>2022</v>
      </c>
      <c r="V3">
        <v>48000</v>
      </c>
    </row>
    <row r="4" spans="1:22" x14ac:dyDescent="0.3">
      <c r="A4" s="1" t="s">
        <v>42</v>
      </c>
      <c r="B4" s="1" t="s">
        <v>43</v>
      </c>
      <c r="C4" s="1" t="s">
        <v>44</v>
      </c>
      <c r="D4" s="1" t="s">
        <v>45</v>
      </c>
      <c r="E4" s="2">
        <v>32673</v>
      </c>
      <c r="F4" s="1" t="s">
        <v>46</v>
      </c>
      <c r="G4">
        <v>4</v>
      </c>
      <c r="H4" s="1" t="s">
        <v>47</v>
      </c>
      <c r="I4">
        <v>2023</v>
      </c>
      <c r="J4" s="1" t="s">
        <v>48</v>
      </c>
      <c r="K4" s="1" t="s">
        <v>49</v>
      </c>
      <c r="L4" s="1" t="s">
        <v>30</v>
      </c>
      <c r="M4" s="2">
        <v>43919</v>
      </c>
      <c r="N4">
        <v>312</v>
      </c>
      <c r="O4">
        <v>9</v>
      </c>
      <c r="P4">
        <v>21.99</v>
      </c>
      <c r="Q4" s="1" t="s">
        <v>31</v>
      </c>
      <c r="R4" s="1" t="s">
        <v>32</v>
      </c>
      <c r="S4" s="1" t="s">
        <v>33</v>
      </c>
      <c r="T4" s="1" t="s">
        <v>34</v>
      </c>
      <c r="U4">
        <v>2022</v>
      </c>
      <c r="V4">
        <v>48000</v>
      </c>
    </row>
    <row r="5" spans="1:22" x14ac:dyDescent="0.3">
      <c r="A5" s="1" t="s">
        <v>50</v>
      </c>
      <c r="B5" s="1" t="s">
        <v>51</v>
      </c>
      <c r="C5" s="1" t="s">
        <v>44</v>
      </c>
      <c r="D5" s="1" t="s">
        <v>45</v>
      </c>
      <c r="E5" s="2">
        <v>32673</v>
      </c>
      <c r="F5" s="1" t="s">
        <v>46</v>
      </c>
      <c r="G5">
        <v>4</v>
      </c>
      <c r="H5" s="1"/>
      <c r="J5" s="1" t="s">
        <v>52</v>
      </c>
      <c r="K5" s="1" t="s">
        <v>49</v>
      </c>
      <c r="L5" s="1" t="s">
        <v>30</v>
      </c>
      <c r="M5" s="2">
        <v>44102</v>
      </c>
      <c r="N5">
        <v>342</v>
      </c>
      <c r="O5">
        <v>8</v>
      </c>
      <c r="P5">
        <v>2.15</v>
      </c>
      <c r="Q5" s="1" t="s">
        <v>31</v>
      </c>
      <c r="R5" s="1" t="s">
        <v>32</v>
      </c>
      <c r="S5" s="1" t="s">
        <v>33</v>
      </c>
      <c r="T5" s="1" t="s">
        <v>34</v>
      </c>
      <c r="U5">
        <v>2022</v>
      </c>
      <c r="V5">
        <v>48000</v>
      </c>
    </row>
    <row r="6" spans="1:22" x14ac:dyDescent="0.3">
      <c r="A6" s="1" t="s">
        <v>53</v>
      </c>
      <c r="B6" s="1" t="s">
        <v>54</v>
      </c>
      <c r="C6" s="1" t="s">
        <v>55</v>
      </c>
      <c r="D6" s="1" t="s">
        <v>56</v>
      </c>
      <c r="E6" s="2">
        <v>30914</v>
      </c>
      <c r="F6" s="1" t="s">
        <v>57</v>
      </c>
      <c r="G6">
        <v>4</v>
      </c>
      <c r="H6" s="1"/>
      <c r="J6" s="1" t="s">
        <v>58</v>
      </c>
      <c r="K6" s="1" t="s">
        <v>29</v>
      </c>
      <c r="L6" s="1" t="s">
        <v>30</v>
      </c>
      <c r="M6" s="2">
        <v>43270</v>
      </c>
      <c r="N6">
        <v>362</v>
      </c>
      <c r="O6">
        <v>7</v>
      </c>
      <c r="P6">
        <v>28.99</v>
      </c>
      <c r="Q6" s="1" t="s">
        <v>31</v>
      </c>
      <c r="R6" s="1" t="s">
        <v>32</v>
      </c>
      <c r="S6" s="1" t="s">
        <v>33</v>
      </c>
      <c r="T6" s="1" t="s">
        <v>34</v>
      </c>
      <c r="U6">
        <v>2022</v>
      </c>
      <c r="V6">
        <v>48000</v>
      </c>
    </row>
    <row r="7" spans="1:22" x14ac:dyDescent="0.3">
      <c r="A7" s="1" t="s">
        <v>59</v>
      </c>
      <c r="B7" s="1" t="s">
        <v>60</v>
      </c>
      <c r="C7" s="1" t="s">
        <v>61</v>
      </c>
      <c r="D7" s="1" t="s">
        <v>62</v>
      </c>
      <c r="E7" s="2">
        <v>22048</v>
      </c>
      <c r="F7" s="1" t="s">
        <v>39</v>
      </c>
      <c r="G7">
        <v>3</v>
      </c>
      <c r="H7" s="1" t="s">
        <v>47</v>
      </c>
      <c r="I7">
        <v>2010</v>
      </c>
      <c r="J7" s="1" t="s">
        <v>63</v>
      </c>
      <c r="K7" s="1" t="s">
        <v>49</v>
      </c>
      <c r="L7" s="1" t="s">
        <v>64</v>
      </c>
      <c r="M7" s="2">
        <v>43668</v>
      </c>
      <c r="N7">
        <v>320</v>
      </c>
      <c r="O7">
        <v>8</v>
      </c>
      <c r="P7">
        <v>19.989999999999998</v>
      </c>
      <c r="Q7" s="1" t="s">
        <v>65</v>
      </c>
      <c r="R7" s="1" t="s">
        <v>66</v>
      </c>
      <c r="S7" s="1" t="s">
        <v>67</v>
      </c>
      <c r="T7" s="1" t="s">
        <v>39</v>
      </c>
      <c r="U7">
        <v>1969</v>
      </c>
      <c r="V7">
        <v>2320000</v>
      </c>
    </row>
    <row r="8" spans="1:22" x14ac:dyDescent="0.3">
      <c r="A8" s="1" t="s">
        <v>59</v>
      </c>
      <c r="B8" s="1" t="s">
        <v>60</v>
      </c>
      <c r="C8" s="1" t="s">
        <v>61</v>
      </c>
      <c r="D8" s="1" t="s">
        <v>62</v>
      </c>
      <c r="E8" s="2">
        <v>22048</v>
      </c>
      <c r="F8" s="1" t="s">
        <v>39</v>
      </c>
      <c r="G8">
        <v>3</v>
      </c>
      <c r="H8" s="1" t="s">
        <v>47</v>
      </c>
      <c r="I8">
        <v>2010</v>
      </c>
      <c r="J8" s="1" t="s">
        <v>68</v>
      </c>
      <c r="K8" s="1" t="s">
        <v>29</v>
      </c>
      <c r="L8" s="1" t="s">
        <v>30</v>
      </c>
      <c r="M8" s="2">
        <v>43174</v>
      </c>
      <c r="N8">
        <v>312</v>
      </c>
      <c r="O8">
        <v>5</v>
      </c>
      <c r="P8">
        <v>24.99</v>
      </c>
      <c r="Q8" s="1" t="s">
        <v>31</v>
      </c>
      <c r="R8" s="1" t="s">
        <v>32</v>
      </c>
      <c r="S8" s="1" t="s">
        <v>33</v>
      </c>
      <c r="T8" s="1" t="s">
        <v>34</v>
      </c>
      <c r="U8">
        <v>2022</v>
      </c>
      <c r="V8">
        <v>48000</v>
      </c>
    </row>
    <row r="9" spans="1:22" x14ac:dyDescent="0.3">
      <c r="A9" s="1" t="s">
        <v>69</v>
      </c>
      <c r="B9" s="1" t="s">
        <v>70</v>
      </c>
      <c r="C9" s="1" t="s">
        <v>71</v>
      </c>
      <c r="D9" s="1" t="s">
        <v>72</v>
      </c>
      <c r="E9" s="2">
        <v>30258</v>
      </c>
      <c r="F9" s="1" t="s">
        <v>34</v>
      </c>
      <c r="G9">
        <v>4</v>
      </c>
      <c r="H9" s="1" t="s">
        <v>73</v>
      </c>
      <c r="I9">
        <v>2016</v>
      </c>
      <c r="J9" s="1" t="s">
        <v>74</v>
      </c>
      <c r="K9" s="1" t="s">
        <v>29</v>
      </c>
      <c r="L9" s="1" t="s">
        <v>64</v>
      </c>
      <c r="M9" s="2">
        <v>43560</v>
      </c>
      <c r="N9">
        <v>300</v>
      </c>
      <c r="O9">
        <v>6</v>
      </c>
      <c r="P9">
        <v>27.99</v>
      </c>
      <c r="Q9" s="1" t="s">
        <v>65</v>
      </c>
      <c r="R9" s="1" t="s">
        <v>66</v>
      </c>
      <c r="S9" s="1" t="s">
        <v>67</v>
      </c>
      <c r="T9" s="1" t="s">
        <v>39</v>
      </c>
      <c r="U9">
        <v>1969</v>
      </c>
      <c r="V9">
        <v>2320000</v>
      </c>
    </row>
    <row r="10" spans="1:22" x14ac:dyDescent="0.3">
      <c r="A10" s="1" t="s">
        <v>69</v>
      </c>
      <c r="B10" s="1" t="s">
        <v>70</v>
      </c>
      <c r="C10" s="1" t="s">
        <v>71</v>
      </c>
      <c r="D10" s="1" t="s">
        <v>72</v>
      </c>
      <c r="E10" s="2">
        <v>30258</v>
      </c>
      <c r="F10" s="1" t="s">
        <v>34</v>
      </c>
      <c r="G10">
        <v>4</v>
      </c>
      <c r="H10" s="1" t="s">
        <v>73</v>
      </c>
      <c r="I10">
        <v>2016</v>
      </c>
      <c r="J10" s="1" t="s">
        <v>75</v>
      </c>
      <c r="K10" s="1" t="s">
        <v>41</v>
      </c>
      <c r="L10" s="1" t="s">
        <v>30</v>
      </c>
      <c r="M10" s="2">
        <v>43840</v>
      </c>
      <c r="N10">
        <v>289</v>
      </c>
      <c r="O10">
        <v>12</v>
      </c>
      <c r="P10">
        <v>9.99</v>
      </c>
      <c r="Q10" s="1" t="s">
        <v>31</v>
      </c>
      <c r="R10" s="1" t="s">
        <v>32</v>
      </c>
      <c r="S10" s="1" t="s">
        <v>33</v>
      </c>
      <c r="T10" s="1" t="s">
        <v>34</v>
      </c>
      <c r="U10">
        <v>2022</v>
      </c>
      <c r="V10">
        <v>48000</v>
      </c>
    </row>
    <row r="11" spans="1:22" x14ac:dyDescent="0.3">
      <c r="A11" s="1" t="s">
        <v>76</v>
      </c>
      <c r="B11" s="1" t="s">
        <v>77</v>
      </c>
      <c r="C11" s="1" t="s">
        <v>78</v>
      </c>
      <c r="D11" s="1" t="s">
        <v>79</v>
      </c>
      <c r="E11" s="2">
        <v>34224</v>
      </c>
      <c r="F11" s="1" t="s">
        <v>34</v>
      </c>
      <c r="G11">
        <v>5</v>
      </c>
      <c r="H11" s="1"/>
      <c r="J11" s="1"/>
      <c r="K11" s="1"/>
      <c r="L11" s="1"/>
      <c r="M11" s="2"/>
      <c r="Q11" s="1"/>
      <c r="R11" s="1"/>
      <c r="S11" s="1"/>
      <c r="T11" s="1"/>
    </row>
    <row r="12" spans="1:22" x14ac:dyDescent="0.3">
      <c r="A12" s="1" t="s">
        <v>80</v>
      </c>
      <c r="B12" s="1" t="s">
        <v>81</v>
      </c>
      <c r="C12" s="1" t="s">
        <v>82</v>
      </c>
      <c r="D12" s="1" t="s">
        <v>83</v>
      </c>
      <c r="E12" s="2">
        <v>27654</v>
      </c>
      <c r="F12" s="1" t="s">
        <v>26</v>
      </c>
      <c r="G12">
        <v>5</v>
      </c>
      <c r="H12" s="1" t="s">
        <v>84</v>
      </c>
      <c r="I12">
        <v>2018</v>
      </c>
      <c r="J12" s="1" t="s">
        <v>85</v>
      </c>
      <c r="K12" s="1" t="s">
        <v>49</v>
      </c>
      <c r="L12" s="1" t="s">
        <v>86</v>
      </c>
      <c r="M12" s="2">
        <v>43057</v>
      </c>
      <c r="N12">
        <v>250</v>
      </c>
      <c r="O12">
        <v>4</v>
      </c>
      <c r="P12">
        <v>1.85</v>
      </c>
      <c r="Q12" s="1" t="s">
        <v>87</v>
      </c>
      <c r="R12" s="1" t="s">
        <v>88</v>
      </c>
      <c r="S12" s="1" t="s">
        <v>67</v>
      </c>
      <c r="T12" s="1" t="s">
        <v>39</v>
      </c>
      <c r="U12">
        <v>1986</v>
      </c>
      <c r="V12">
        <v>72000</v>
      </c>
    </row>
    <row r="13" spans="1:22" x14ac:dyDescent="0.3">
      <c r="A13" s="1" t="s">
        <v>89</v>
      </c>
      <c r="B13" s="1" t="s">
        <v>90</v>
      </c>
      <c r="C13" s="1" t="s">
        <v>91</v>
      </c>
      <c r="D13" s="1" t="s">
        <v>92</v>
      </c>
      <c r="E13" s="2">
        <v>29138</v>
      </c>
      <c r="F13" s="1" t="s">
        <v>93</v>
      </c>
      <c r="G13">
        <v>4</v>
      </c>
      <c r="H13" s="1"/>
      <c r="J13" s="1" t="s">
        <v>94</v>
      </c>
      <c r="K13" s="1" t="s">
        <v>29</v>
      </c>
      <c r="L13" s="1" t="s">
        <v>30</v>
      </c>
      <c r="M13" s="2">
        <v>44043</v>
      </c>
      <c r="N13">
        <v>390</v>
      </c>
      <c r="O13">
        <v>7</v>
      </c>
      <c r="P13">
        <v>2.95</v>
      </c>
      <c r="Q13" s="1" t="s">
        <v>31</v>
      </c>
      <c r="R13" s="1" t="s">
        <v>32</v>
      </c>
      <c r="S13" s="1" t="s">
        <v>33</v>
      </c>
      <c r="T13" s="1" t="s">
        <v>34</v>
      </c>
      <c r="U13">
        <v>2022</v>
      </c>
      <c r="V13">
        <v>48000</v>
      </c>
    </row>
    <row r="14" spans="1:22" x14ac:dyDescent="0.3">
      <c r="A14" s="1" t="s">
        <v>95</v>
      </c>
      <c r="B14" s="1" t="s">
        <v>96</v>
      </c>
      <c r="C14" s="1" t="s">
        <v>97</v>
      </c>
      <c r="D14" s="1" t="s">
        <v>98</v>
      </c>
      <c r="E14" s="2">
        <v>32871</v>
      </c>
      <c r="F14" s="1" t="s">
        <v>39</v>
      </c>
      <c r="G14">
        <v>3</v>
      </c>
      <c r="H14" s="1"/>
      <c r="J14" s="1" t="s">
        <v>99</v>
      </c>
      <c r="K14" s="1" t="s">
        <v>49</v>
      </c>
      <c r="L14" s="1" t="s">
        <v>30</v>
      </c>
      <c r="M14" s="2">
        <v>43802</v>
      </c>
      <c r="N14">
        <v>355</v>
      </c>
      <c r="O14">
        <v>11</v>
      </c>
      <c r="P14">
        <v>22.99</v>
      </c>
      <c r="Q14" s="1" t="s">
        <v>31</v>
      </c>
      <c r="R14" s="1" t="s">
        <v>32</v>
      </c>
      <c r="S14" s="1" t="s">
        <v>33</v>
      </c>
      <c r="T14" s="1" t="s">
        <v>34</v>
      </c>
      <c r="U14">
        <v>2022</v>
      </c>
      <c r="V14">
        <v>48000</v>
      </c>
    </row>
    <row r="15" spans="1:22" x14ac:dyDescent="0.3">
      <c r="A15" s="1" t="s">
        <v>100</v>
      </c>
      <c r="B15" s="1" t="s">
        <v>101</v>
      </c>
      <c r="C15" s="1" t="s">
        <v>102</v>
      </c>
      <c r="D15" s="1" t="s">
        <v>103</v>
      </c>
      <c r="E15" s="2">
        <v>31148</v>
      </c>
      <c r="F15" s="1" t="s">
        <v>39</v>
      </c>
      <c r="G15">
        <v>3</v>
      </c>
      <c r="H15" s="1" t="s">
        <v>73</v>
      </c>
      <c r="I15">
        <v>2023</v>
      </c>
      <c r="J15" s="1" t="s">
        <v>104</v>
      </c>
      <c r="K15" s="1" t="s">
        <v>41</v>
      </c>
      <c r="L15" s="1" t="s">
        <v>86</v>
      </c>
      <c r="M15" s="2">
        <v>43490</v>
      </c>
      <c r="N15">
        <v>275</v>
      </c>
      <c r="O15">
        <v>14</v>
      </c>
      <c r="P15">
        <v>7.99</v>
      </c>
      <c r="Q15" s="1" t="s">
        <v>87</v>
      </c>
      <c r="R15" s="1" t="s">
        <v>88</v>
      </c>
      <c r="S15" s="1" t="s">
        <v>67</v>
      </c>
      <c r="T15" s="1" t="s">
        <v>39</v>
      </c>
      <c r="U15">
        <v>1986</v>
      </c>
      <c r="V15">
        <v>72000</v>
      </c>
    </row>
    <row r="16" spans="1:22" x14ac:dyDescent="0.3">
      <c r="A16" s="1" t="s">
        <v>105</v>
      </c>
      <c r="B16" s="1" t="s">
        <v>106</v>
      </c>
      <c r="C16" s="1" t="s">
        <v>107</v>
      </c>
      <c r="D16" s="1" t="s">
        <v>108</v>
      </c>
      <c r="E16" s="2">
        <v>29124</v>
      </c>
      <c r="F16" s="1" t="s">
        <v>39</v>
      </c>
      <c r="G16">
        <v>4</v>
      </c>
      <c r="H16" s="1"/>
      <c r="J16" s="1" t="s">
        <v>109</v>
      </c>
      <c r="K16" s="1" t="s">
        <v>29</v>
      </c>
      <c r="L16" s="1" t="s">
        <v>64</v>
      </c>
      <c r="M16" s="2">
        <v>43096</v>
      </c>
      <c r="N16">
        <v>310</v>
      </c>
      <c r="O16">
        <v>5</v>
      </c>
      <c r="P16">
        <v>2.65</v>
      </c>
      <c r="Q16" s="1" t="s">
        <v>65</v>
      </c>
      <c r="R16" s="1" t="s">
        <v>66</v>
      </c>
      <c r="S16" s="1" t="s">
        <v>67</v>
      </c>
      <c r="T16" s="1" t="s">
        <v>39</v>
      </c>
      <c r="U16">
        <v>1969</v>
      </c>
      <c r="V16">
        <v>2320000</v>
      </c>
    </row>
    <row r="17" spans="1:22" x14ac:dyDescent="0.3">
      <c r="A17" s="1" t="s">
        <v>110</v>
      </c>
      <c r="B17" s="1" t="s">
        <v>111</v>
      </c>
      <c r="C17" s="1" t="s">
        <v>112</v>
      </c>
      <c r="D17" s="1" t="s">
        <v>113</v>
      </c>
      <c r="E17" s="2">
        <v>32325</v>
      </c>
      <c r="F17" s="1" t="s">
        <v>39</v>
      </c>
      <c r="G17">
        <v>4</v>
      </c>
      <c r="H17" s="1"/>
      <c r="J17" s="1" t="s">
        <v>114</v>
      </c>
      <c r="K17" s="1" t="s">
        <v>41</v>
      </c>
      <c r="L17" s="1" t="s">
        <v>64</v>
      </c>
      <c r="M17" s="2">
        <v>44167</v>
      </c>
      <c r="N17">
        <v>310</v>
      </c>
      <c r="O17">
        <v>15</v>
      </c>
      <c r="P17">
        <v>8.99</v>
      </c>
      <c r="Q17" s="1" t="s">
        <v>65</v>
      </c>
      <c r="R17" s="1" t="s">
        <v>66</v>
      </c>
      <c r="S17" s="1" t="s">
        <v>67</v>
      </c>
      <c r="T17" s="1" t="s">
        <v>39</v>
      </c>
      <c r="U17">
        <v>1969</v>
      </c>
      <c r="V17">
        <v>2320000</v>
      </c>
    </row>
    <row r="18" spans="1:22" x14ac:dyDescent="0.3">
      <c r="A18" s="1" t="s">
        <v>115</v>
      </c>
      <c r="B18" s="1" t="s">
        <v>116</v>
      </c>
      <c r="C18" s="1" t="s">
        <v>117</v>
      </c>
      <c r="D18" s="1" t="s">
        <v>118</v>
      </c>
      <c r="E18" s="2">
        <v>33332</v>
      </c>
      <c r="F18" s="1" t="s">
        <v>119</v>
      </c>
      <c r="G18">
        <v>5</v>
      </c>
      <c r="H18" s="1"/>
      <c r="J18" s="1" t="s">
        <v>120</v>
      </c>
      <c r="K18" s="1" t="s">
        <v>41</v>
      </c>
      <c r="L18" s="1" t="s">
        <v>64</v>
      </c>
      <c r="M18" s="2">
        <v>43928</v>
      </c>
      <c r="N18">
        <v>280</v>
      </c>
      <c r="O18">
        <v>18</v>
      </c>
      <c r="P18">
        <v>0.85</v>
      </c>
      <c r="Q18" s="1" t="s">
        <v>65</v>
      </c>
      <c r="R18" s="1" t="s">
        <v>66</v>
      </c>
      <c r="S18" s="1" t="s">
        <v>67</v>
      </c>
      <c r="T18" s="1" t="s">
        <v>39</v>
      </c>
      <c r="U18">
        <v>1969</v>
      </c>
      <c r="V18">
        <v>2320000</v>
      </c>
    </row>
    <row r="19" spans="1:22" x14ac:dyDescent="0.3">
      <c r="A19" s="1" t="s">
        <v>121</v>
      </c>
      <c r="B19" s="1" t="s">
        <v>122</v>
      </c>
      <c r="C19" s="1" t="s">
        <v>117</v>
      </c>
      <c r="D19" s="1" t="s">
        <v>118</v>
      </c>
      <c r="E19" s="2">
        <v>33332</v>
      </c>
      <c r="F19" s="1" t="s">
        <v>119</v>
      </c>
      <c r="G19">
        <v>5</v>
      </c>
      <c r="H19" s="1"/>
      <c r="J19" s="1" t="s">
        <v>123</v>
      </c>
      <c r="K19" s="1" t="s">
        <v>49</v>
      </c>
      <c r="L19" s="1" t="s">
        <v>64</v>
      </c>
      <c r="M19" s="2">
        <v>43680</v>
      </c>
      <c r="N19">
        <v>318</v>
      </c>
      <c r="O19">
        <v>10</v>
      </c>
      <c r="P19">
        <v>2.25</v>
      </c>
      <c r="Q19" s="1" t="s">
        <v>65</v>
      </c>
      <c r="R19" s="1" t="s">
        <v>66</v>
      </c>
      <c r="S19" s="1" t="s">
        <v>67</v>
      </c>
      <c r="T19" s="1" t="s">
        <v>39</v>
      </c>
      <c r="U19">
        <v>1969</v>
      </c>
      <c r="V19">
        <v>2320000</v>
      </c>
    </row>
    <row r="20" spans="1:22" x14ac:dyDescent="0.3">
      <c r="A20" s="1" t="s">
        <v>124</v>
      </c>
      <c r="B20" s="1" t="s">
        <v>125</v>
      </c>
      <c r="C20" s="1" t="s">
        <v>126</v>
      </c>
      <c r="D20" s="1" t="s">
        <v>127</v>
      </c>
      <c r="E20" s="2">
        <v>26840</v>
      </c>
      <c r="F20" s="1" t="s">
        <v>39</v>
      </c>
      <c r="G20">
        <v>4</v>
      </c>
      <c r="H20" s="1" t="s">
        <v>128</v>
      </c>
      <c r="I20">
        <v>2017</v>
      </c>
      <c r="J20" s="1" t="s">
        <v>129</v>
      </c>
      <c r="K20" s="1" t="s">
        <v>41</v>
      </c>
      <c r="L20" s="1" t="s">
        <v>30</v>
      </c>
      <c r="M20" s="2">
        <v>44083</v>
      </c>
      <c r="N20">
        <v>266</v>
      </c>
      <c r="O20">
        <v>15</v>
      </c>
      <c r="P20">
        <v>9.99</v>
      </c>
      <c r="Q20" s="1" t="s">
        <v>31</v>
      </c>
      <c r="R20" s="1" t="s">
        <v>32</v>
      </c>
      <c r="S20" s="1" t="s">
        <v>33</v>
      </c>
      <c r="T20" s="1" t="s">
        <v>34</v>
      </c>
      <c r="U20">
        <v>2022</v>
      </c>
      <c r="V20">
        <v>48000</v>
      </c>
    </row>
    <row r="21" spans="1:22" x14ac:dyDescent="0.3">
      <c r="A21" s="1" t="s">
        <v>130</v>
      </c>
      <c r="B21" s="1" t="s">
        <v>131</v>
      </c>
      <c r="C21" s="1" t="s">
        <v>132</v>
      </c>
      <c r="D21" s="1" t="s">
        <v>133</v>
      </c>
      <c r="E21" s="2">
        <v>31498</v>
      </c>
      <c r="F21" s="1" t="s">
        <v>39</v>
      </c>
      <c r="G21">
        <v>5</v>
      </c>
      <c r="H21" s="1" t="s">
        <v>27</v>
      </c>
      <c r="I21">
        <v>2023</v>
      </c>
      <c r="J21" s="1" t="s">
        <v>134</v>
      </c>
      <c r="K21" s="1" t="s">
        <v>29</v>
      </c>
      <c r="L21" s="1" t="s">
        <v>30</v>
      </c>
      <c r="M21" s="2">
        <v>42934</v>
      </c>
      <c r="N21">
        <v>333</v>
      </c>
      <c r="O21">
        <v>6</v>
      </c>
      <c r="P21">
        <v>25.99</v>
      </c>
      <c r="Q21" s="1" t="s">
        <v>31</v>
      </c>
      <c r="R21" s="1" t="s">
        <v>32</v>
      </c>
      <c r="S21" s="1" t="s">
        <v>33</v>
      </c>
      <c r="T21" s="1" t="s">
        <v>34</v>
      </c>
      <c r="U21">
        <v>2022</v>
      </c>
      <c r="V21">
        <v>48000</v>
      </c>
    </row>
    <row r="22" spans="1:22" x14ac:dyDescent="0.3">
      <c r="A22" s="1" t="s">
        <v>135</v>
      </c>
      <c r="B22" s="1" t="s">
        <v>136</v>
      </c>
      <c r="C22" s="1" t="s">
        <v>137</v>
      </c>
      <c r="D22" s="1" t="s">
        <v>138</v>
      </c>
      <c r="E22" s="2">
        <v>30418</v>
      </c>
      <c r="F22" s="1" t="s">
        <v>93</v>
      </c>
      <c r="G22">
        <v>3</v>
      </c>
      <c r="H22" s="1" t="s">
        <v>27</v>
      </c>
      <c r="I22">
        <v>2011</v>
      </c>
      <c r="J22" s="1" t="s">
        <v>139</v>
      </c>
      <c r="K22" s="1" t="s">
        <v>29</v>
      </c>
      <c r="L22" s="1" t="s">
        <v>86</v>
      </c>
      <c r="M22" s="2">
        <v>43105</v>
      </c>
      <c r="N22">
        <v>344</v>
      </c>
      <c r="O22">
        <v>5</v>
      </c>
      <c r="P22">
        <v>2.65</v>
      </c>
      <c r="Q22" s="1" t="s">
        <v>87</v>
      </c>
      <c r="R22" s="1" t="s">
        <v>88</v>
      </c>
      <c r="S22" s="1" t="s">
        <v>67</v>
      </c>
      <c r="T22" s="1" t="s">
        <v>39</v>
      </c>
      <c r="U22">
        <v>1986</v>
      </c>
      <c r="V22">
        <v>72000</v>
      </c>
    </row>
    <row r="23" spans="1:22" x14ac:dyDescent="0.3">
      <c r="A23" s="1" t="s">
        <v>140</v>
      </c>
      <c r="B23" s="1" t="s">
        <v>141</v>
      </c>
      <c r="C23" s="1" t="s">
        <v>142</v>
      </c>
      <c r="D23" s="1" t="s">
        <v>143</v>
      </c>
      <c r="E23" s="2">
        <v>33033</v>
      </c>
      <c r="F23" s="1" t="s">
        <v>34</v>
      </c>
      <c r="G23">
        <v>4</v>
      </c>
      <c r="H23" s="1"/>
      <c r="J23" s="1" t="s">
        <v>144</v>
      </c>
      <c r="K23" s="1" t="s">
        <v>41</v>
      </c>
      <c r="L23" s="1" t="s">
        <v>30</v>
      </c>
      <c r="M23" s="2">
        <v>43257</v>
      </c>
      <c r="N23">
        <v>290</v>
      </c>
      <c r="O23">
        <v>17</v>
      </c>
      <c r="P23">
        <v>8.99</v>
      </c>
      <c r="Q23" s="1" t="s">
        <v>31</v>
      </c>
      <c r="R23" s="1" t="s">
        <v>32</v>
      </c>
      <c r="S23" s="1" t="s">
        <v>33</v>
      </c>
      <c r="T23" s="1" t="s">
        <v>34</v>
      </c>
      <c r="U23">
        <v>2022</v>
      </c>
      <c r="V23">
        <v>48000</v>
      </c>
    </row>
    <row r="24" spans="1:22" x14ac:dyDescent="0.3">
      <c r="A24" s="1" t="s">
        <v>145</v>
      </c>
      <c r="B24" s="1" t="s">
        <v>146</v>
      </c>
      <c r="C24" s="1" t="s">
        <v>147</v>
      </c>
      <c r="D24" s="1" t="s">
        <v>148</v>
      </c>
      <c r="E24" s="2">
        <v>30328</v>
      </c>
      <c r="F24" s="1" t="s">
        <v>57</v>
      </c>
      <c r="G24">
        <v>4</v>
      </c>
      <c r="H24" s="1"/>
      <c r="J24" s="1" t="s">
        <v>149</v>
      </c>
      <c r="K24" s="1" t="s">
        <v>41</v>
      </c>
      <c r="L24" s="1" t="s">
        <v>150</v>
      </c>
      <c r="M24" s="2">
        <v>44039</v>
      </c>
      <c r="N24">
        <v>289</v>
      </c>
      <c r="O24">
        <v>14</v>
      </c>
      <c r="P24">
        <v>9.99</v>
      </c>
      <c r="Q24" s="1" t="s">
        <v>151</v>
      </c>
      <c r="R24" s="1" t="s">
        <v>152</v>
      </c>
      <c r="S24" s="1" t="s">
        <v>153</v>
      </c>
      <c r="T24" s="1" t="s">
        <v>154</v>
      </c>
      <c r="U24">
        <v>2003</v>
      </c>
      <c r="V24">
        <v>151000</v>
      </c>
    </row>
    <row r="25" spans="1:22" x14ac:dyDescent="0.3">
      <c r="A25" s="1" t="s">
        <v>155</v>
      </c>
      <c r="B25" s="1" t="s">
        <v>156</v>
      </c>
      <c r="C25" s="1" t="s">
        <v>157</v>
      </c>
      <c r="D25" s="1" t="s">
        <v>158</v>
      </c>
      <c r="E25" s="2">
        <v>30817</v>
      </c>
      <c r="F25" s="1" t="s">
        <v>57</v>
      </c>
      <c r="G25">
        <v>4</v>
      </c>
      <c r="H25" s="1" t="s">
        <v>84</v>
      </c>
      <c r="I25">
        <v>2020</v>
      </c>
      <c r="J25" s="1" t="s">
        <v>159</v>
      </c>
      <c r="K25" s="1" t="s">
        <v>49</v>
      </c>
      <c r="L25" s="1" t="s">
        <v>64</v>
      </c>
      <c r="M25" s="2">
        <v>43453</v>
      </c>
      <c r="N25">
        <v>278</v>
      </c>
      <c r="O25">
        <v>11</v>
      </c>
      <c r="P25">
        <v>19.989999999999998</v>
      </c>
      <c r="Q25" s="1" t="s">
        <v>65</v>
      </c>
      <c r="R25" s="1" t="s">
        <v>66</v>
      </c>
      <c r="S25" s="1" t="s">
        <v>67</v>
      </c>
      <c r="T25" s="1" t="s">
        <v>39</v>
      </c>
      <c r="U25">
        <v>1969</v>
      </c>
      <c r="V25">
        <v>2320000</v>
      </c>
    </row>
    <row r="26" spans="1:22" x14ac:dyDescent="0.3">
      <c r="A26" s="1" t="s">
        <v>160</v>
      </c>
      <c r="B26" s="1" t="s">
        <v>161</v>
      </c>
      <c r="C26" s="1" t="s">
        <v>157</v>
      </c>
      <c r="D26" s="1" t="s">
        <v>158</v>
      </c>
      <c r="E26" s="2">
        <v>30817</v>
      </c>
      <c r="F26" s="1" t="s">
        <v>57</v>
      </c>
      <c r="G26">
        <v>4</v>
      </c>
      <c r="H26" s="1" t="s">
        <v>162</v>
      </c>
      <c r="I26">
        <v>2022</v>
      </c>
      <c r="J26" s="1" t="s">
        <v>163</v>
      </c>
      <c r="K26" s="1" t="s">
        <v>41</v>
      </c>
      <c r="L26" s="1" t="s">
        <v>30</v>
      </c>
      <c r="M26" s="2">
        <v>44148</v>
      </c>
      <c r="N26">
        <v>295</v>
      </c>
      <c r="O26">
        <v>14</v>
      </c>
      <c r="P26">
        <v>0.85</v>
      </c>
      <c r="Q26" s="1" t="s">
        <v>31</v>
      </c>
      <c r="R26" s="1" t="s">
        <v>32</v>
      </c>
      <c r="S26" s="1" t="s">
        <v>33</v>
      </c>
      <c r="T26" s="1" t="s">
        <v>34</v>
      </c>
      <c r="U26">
        <v>2022</v>
      </c>
      <c r="V26">
        <v>48000</v>
      </c>
    </row>
    <row r="27" spans="1:22" x14ac:dyDescent="0.3">
      <c r="A27" s="1" t="s">
        <v>164</v>
      </c>
      <c r="B27" s="1" t="s">
        <v>165</v>
      </c>
      <c r="C27" s="1" t="s">
        <v>166</v>
      </c>
      <c r="D27" s="1" t="s">
        <v>167</v>
      </c>
      <c r="E27" s="2">
        <v>31709</v>
      </c>
      <c r="F27" s="1" t="s">
        <v>93</v>
      </c>
      <c r="G27">
        <v>5</v>
      </c>
      <c r="H27" s="1"/>
      <c r="J27" s="1" t="s">
        <v>168</v>
      </c>
      <c r="K27" s="1" t="s">
        <v>29</v>
      </c>
      <c r="L27" s="1" t="s">
        <v>64</v>
      </c>
      <c r="M27" s="2">
        <v>43184</v>
      </c>
      <c r="N27">
        <v>320</v>
      </c>
      <c r="O27">
        <v>5</v>
      </c>
      <c r="P27">
        <v>24.99</v>
      </c>
      <c r="Q27" s="1" t="s">
        <v>65</v>
      </c>
      <c r="R27" s="1" t="s">
        <v>66</v>
      </c>
      <c r="S27" s="1" t="s">
        <v>67</v>
      </c>
      <c r="T27" s="1" t="s">
        <v>39</v>
      </c>
      <c r="U27">
        <v>1969</v>
      </c>
      <c r="V27">
        <v>2320000</v>
      </c>
    </row>
    <row r="28" spans="1:22" x14ac:dyDescent="0.3">
      <c r="A28" s="1" t="s">
        <v>169</v>
      </c>
      <c r="B28" s="1" t="s">
        <v>170</v>
      </c>
      <c r="C28" s="1" t="s">
        <v>171</v>
      </c>
      <c r="D28" s="1" t="s">
        <v>172</v>
      </c>
      <c r="E28" s="2">
        <v>27281</v>
      </c>
      <c r="F28" s="1" t="s">
        <v>39</v>
      </c>
      <c r="G28">
        <v>2</v>
      </c>
      <c r="H28" s="1" t="s">
        <v>128</v>
      </c>
      <c r="I28">
        <v>2018</v>
      </c>
      <c r="J28" s="1" t="s">
        <v>173</v>
      </c>
      <c r="K28" s="1" t="s">
        <v>29</v>
      </c>
      <c r="L28" s="1" t="s">
        <v>30</v>
      </c>
      <c r="M28" s="2">
        <v>44005</v>
      </c>
      <c r="N28">
        <v>403</v>
      </c>
      <c r="O28">
        <v>8</v>
      </c>
      <c r="P28">
        <v>29.99</v>
      </c>
      <c r="Q28" s="1" t="s">
        <v>31</v>
      </c>
      <c r="R28" s="1" t="s">
        <v>32</v>
      </c>
      <c r="S28" s="1" t="s">
        <v>33</v>
      </c>
      <c r="T28" s="1" t="s">
        <v>34</v>
      </c>
      <c r="U28">
        <v>2022</v>
      </c>
      <c r="V28">
        <v>48000</v>
      </c>
    </row>
    <row r="29" spans="1:22" x14ac:dyDescent="0.3">
      <c r="A29" s="1" t="s">
        <v>174</v>
      </c>
      <c r="B29" s="1" t="s">
        <v>175</v>
      </c>
      <c r="C29" s="1" t="s">
        <v>176</v>
      </c>
      <c r="D29" s="1" t="s">
        <v>177</v>
      </c>
      <c r="E29" s="2">
        <v>30004</v>
      </c>
      <c r="F29" s="1" t="s">
        <v>34</v>
      </c>
      <c r="G29">
        <v>3</v>
      </c>
      <c r="H29" s="1"/>
      <c r="J29" s="1" t="s">
        <v>178</v>
      </c>
      <c r="K29" s="1" t="s">
        <v>49</v>
      </c>
      <c r="L29" s="1" t="s">
        <v>64</v>
      </c>
      <c r="M29" s="2">
        <v>43594</v>
      </c>
      <c r="N29">
        <v>348</v>
      </c>
      <c r="O29">
        <v>11</v>
      </c>
      <c r="P29">
        <v>2.25</v>
      </c>
      <c r="Q29" s="1" t="s">
        <v>65</v>
      </c>
      <c r="R29" s="1" t="s">
        <v>66</v>
      </c>
      <c r="S29" s="1" t="s">
        <v>67</v>
      </c>
      <c r="T29" s="1" t="s">
        <v>39</v>
      </c>
      <c r="U29">
        <v>1969</v>
      </c>
      <c r="V29">
        <v>2320000</v>
      </c>
    </row>
    <row r="30" spans="1:22" x14ac:dyDescent="0.3">
      <c r="A30" s="1" t="s">
        <v>179</v>
      </c>
      <c r="B30" s="1" t="s">
        <v>180</v>
      </c>
      <c r="C30" s="1" t="s">
        <v>181</v>
      </c>
      <c r="D30" s="1" t="s">
        <v>182</v>
      </c>
      <c r="E30" s="2">
        <v>30019</v>
      </c>
      <c r="F30" s="1" t="s">
        <v>34</v>
      </c>
      <c r="G30">
        <v>4</v>
      </c>
      <c r="H30" s="1" t="s">
        <v>128</v>
      </c>
      <c r="I30">
        <v>2012</v>
      </c>
      <c r="J30" s="1" t="s">
        <v>183</v>
      </c>
      <c r="K30" s="1" t="s">
        <v>49</v>
      </c>
      <c r="L30" s="1" t="s">
        <v>30</v>
      </c>
      <c r="M30" s="2">
        <v>43516</v>
      </c>
      <c r="N30">
        <v>340</v>
      </c>
      <c r="O30">
        <v>10</v>
      </c>
      <c r="P30">
        <v>20.99</v>
      </c>
      <c r="Q30" s="1" t="s">
        <v>31</v>
      </c>
      <c r="R30" s="1" t="s">
        <v>32</v>
      </c>
      <c r="S30" s="1" t="s">
        <v>33</v>
      </c>
      <c r="T30" s="1" t="s">
        <v>34</v>
      </c>
      <c r="U30">
        <v>2022</v>
      </c>
      <c r="V30">
        <v>48000</v>
      </c>
    </row>
    <row r="31" spans="1:22" x14ac:dyDescent="0.3">
      <c r="A31" s="1" t="s">
        <v>184</v>
      </c>
      <c r="B31" s="1" t="s">
        <v>185</v>
      </c>
      <c r="C31" s="1" t="s">
        <v>186</v>
      </c>
      <c r="D31" s="1" t="s">
        <v>187</v>
      </c>
      <c r="E31" s="2">
        <v>31264</v>
      </c>
      <c r="F31" s="1" t="s">
        <v>188</v>
      </c>
      <c r="G31">
        <v>5</v>
      </c>
      <c r="H31" s="1"/>
      <c r="J31" s="1" t="s">
        <v>189</v>
      </c>
      <c r="K31" s="1" t="s">
        <v>49</v>
      </c>
      <c r="L31" s="1" t="s">
        <v>64</v>
      </c>
      <c r="M31" s="2">
        <v>43359</v>
      </c>
      <c r="N31">
        <v>288</v>
      </c>
      <c r="O31">
        <v>10</v>
      </c>
      <c r="P31">
        <v>19.989999999999998</v>
      </c>
      <c r="Q31" s="1" t="s">
        <v>65</v>
      </c>
      <c r="R31" s="1" t="s">
        <v>66</v>
      </c>
      <c r="S31" s="1" t="s">
        <v>67</v>
      </c>
      <c r="T31" s="1" t="s">
        <v>39</v>
      </c>
      <c r="U31">
        <v>1969</v>
      </c>
      <c r="V31">
        <v>2320000</v>
      </c>
    </row>
    <row r="32" spans="1:22" x14ac:dyDescent="0.3">
      <c r="A32" s="1" t="s">
        <v>190</v>
      </c>
      <c r="B32" s="1" t="s">
        <v>191</v>
      </c>
      <c r="C32" s="1" t="s">
        <v>186</v>
      </c>
      <c r="D32" s="1" t="s">
        <v>187</v>
      </c>
      <c r="E32" s="2">
        <v>31264</v>
      </c>
      <c r="F32" s="1" t="s">
        <v>188</v>
      </c>
      <c r="G32">
        <v>5</v>
      </c>
      <c r="H32" s="1"/>
      <c r="J32" s="1" t="s">
        <v>192</v>
      </c>
      <c r="K32" s="1" t="s">
        <v>41</v>
      </c>
      <c r="L32" s="1" t="s">
        <v>30</v>
      </c>
      <c r="M32" s="2">
        <v>44119</v>
      </c>
      <c r="N32">
        <v>270</v>
      </c>
      <c r="O32">
        <v>19</v>
      </c>
      <c r="P32">
        <v>8.99</v>
      </c>
      <c r="Q32" s="1" t="s">
        <v>31</v>
      </c>
      <c r="R32" s="1" t="s">
        <v>32</v>
      </c>
      <c r="S32" s="1" t="s">
        <v>33</v>
      </c>
      <c r="T32" s="1" t="s">
        <v>34</v>
      </c>
      <c r="U32">
        <v>2022</v>
      </c>
      <c r="V32">
        <v>48000</v>
      </c>
    </row>
    <row r="33" spans="1:22" x14ac:dyDescent="0.3">
      <c r="A33" s="1" t="s">
        <v>193</v>
      </c>
      <c r="B33" s="1" t="s">
        <v>194</v>
      </c>
      <c r="C33" s="1" t="s">
        <v>195</v>
      </c>
      <c r="D33" s="1" t="s">
        <v>196</v>
      </c>
      <c r="E33" s="2">
        <v>27968</v>
      </c>
      <c r="F33" s="1" t="s">
        <v>197</v>
      </c>
      <c r="G33">
        <v>3</v>
      </c>
      <c r="H33" s="1"/>
      <c r="J33" s="1" t="s">
        <v>198</v>
      </c>
      <c r="K33" s="1" t="s">
        <v>29</v>
      </c>
      <c r="L33" s="1" t="s">
        <v>64</v>
      </c>
      <c r="M33" s="2">
        <v>44156</v>
      </c>
      <c r="N33">
        <v>408</v>
      </c>
      <c r="O33">
        <v>7</v>
      </c>
      <c r="P33">
        <v>29.99</v>
      </c>
      <c r="Q33" s="1" t="s">
        <v>65</v>
      </c>
      <c r="R33" s="1" t="s">
        <v>66</v>
      </c>
      <c r="S33" s="1" t="s">
        <v>67</v>
      </c>
      <c r="T33" s="1" t="s">
        <v>39</v>
      </c>
      <c r="U33">
        <v>1969</v>
      </c>
      <c r="V33">
        <v>2320000</v>
      </c>
    </row>
    <row r="34" spans="1:22" x14ac:dyDescent="0.3">
      <c r="A34" s="1" t="s">
        <v>199</v>
      </c>
      <c r="B34" s="1" t="s">
        <v>200</v>
      </c>
      <c r="C34" s="1" t="s">
        <v>201</v>
      </c>
      <c r="D34" s="1" t="s">
        <v>202</v>
      </c>
      <c r="E34" s="2">
        <v>25301</v>
      </c>
      <c r="F34" s="1" t="s">
        <v>203</v>
      </c>
      <c r="G34">
        <v>4</v>
      </c>
      <c r="H34" s="1" t="s">
        <v>73</v>
      </c>
      <c r="I34">
        <v>2015</v>
      </c>
      <c r="J34" s="1" t="s">
        <v>204</v>
      </c>
      <c r="K34" s="1" t="s">
        <v>41</v>
      </c>
      <c r="L34" s="1" t="s">
        <v>64</v>
      </c>
      <c r="M34" s="2">
        <v>43946</v>
      </c>
      <c r="N34">
        <v>255</v>
      </c>
      <c r="O34">
        <v>16</v>
      </c>
      <c r="P34">
        <v>7.99</v>
      </c>
      <c r="Q34" s="1" t="s">
        <v>65</v>
      </c>
      <c r="R34" s="1" t="s">
        <v>66</v>
      </c>
      <c r="S34" s="1" t="s">
        <v>67</v>
      </c>
      <c r="T34" s="1" t="s">
        <v>39</v>
      </c>
      <c r="U34">
        <v>1969</v>
      </c>
      <c r="V34">
        <v>2320000</v>
      </c>
    </row>
    <row r="35" spans="1:22" x14ac:dyDescent="0.3">
      <c r="A35" s="1" t="s">
        <v>205</v>
      </c>
      <c r="B35" s="1" t="s">
        <v>206</v>
      </c>
      <c r="C35" s="1" t="s">
        <v>207</v>
      </c>
      <c r="D35" s="1" t="s">
        <v>208</v>
      </c>
      <c r="E35" s="2">
        <v>29456</v>
      </c>
      <c r="F35" s="1" t="s">
        <v>93</v>
      </c>
      <c r="G35">
        <v>3</v>
      </c>
      <c r="H35" s="1" t="s">
        <v>209</v>
      </c>
      <c r="I35">
        <v>2015</v>
      </c>
      <c r="J35" s="1" t="s">
        <v>210</v>
      </c>
      <c r="K35" s="1" t="s">
        <v>49</v>
      </c>
      <c r="L35" s="1" t="s">
        <v>30</v>
      </c>
      <c r="M35" s="2">
        <v>43684</v>
      </c>
      <c r="N35">
        <v>355</v>
      </c>
      <c r="O35">
        <v>9</v>
      </c>
      <c r="P35">
        <v>22.99</v>
      </c>
      <c r="Q35" s="1" t="s">
        <v>31</v>
      </c>
      <c r="R35" s="1" t="s">
        <v>32</v>
      </c>
      <c r="S35" s="1" t="s">
        <v>33</v>
      </c>
      <c r="T35" s="1" t="s">
        <v>34</v>
      </c>
      <c r="U35">
        <v>2022</v>
      </c>
      <c r="V35">
        <v>48000</v>
      </c>
    </row>
    <row r="36" spans="1:22" x14ac:dyDescent="0.3">
      <c r="A36" s="1" t="s">
        <v>205</v>
      </c>
      <c r="B36" s="1" t="s">
        <v>206</v>
      </c>
      <c r="C36" s="1" t="s">
        <v>207</v>
      </c>
      <c r="D36" s="1" t="s">
        <v>208</v>
      </c>
      <c r="E36" s="2">
        <v>29456</v>
      </c>
      <c r="F36" s="1" t="s">
        <v>93</v>
      </c>
      <c r="G36">
        <v>3</v>
      </c>
      <c r="H36" s="1" t="s">
        <v>27</v>
      </c>
      <c r="I36">
        <v>2015</v>
      </c>
      <c r="J36" s="1" t="s">
        <v>210</v>
      </c>
      <c r="K36" s="1" t="s">
        <v>49</v>
      </c>
      <c r="L36" s="1" t="s">
        <v>30</v>
      </c>
      <c r="M36" s="2">
        <v>43684</v>
      </c>
      <c r="N36">
        <v>355</v>
      </c>
      <c r="O36">
        <v>9</v>
      </c>
      <c r="P36">
        <v>22.99</v>
      </c>
      <c r="Q36" s="1" t="s">
        <v>31</v>
      </c>
      <c r="R36" s="1" t="s">
        <v>32</v>
      </c>
      <c r="S36" s="1" t="s">
        <v>33</v>
      </c>
      <c r="T36" s="1" t="s">
        <v>34</v>
      </c>
      <c r="U36">
        <v>2022</v>
      </c>
      <c r="V36">
        <v>48000</v>
      </c>
    </row>
    <row r="37" spans="1:22" x14ac:dyDescent="0.3">
      <c r="A37" s="1" t="s">
        <v>211</v>
      </c>
      <c r="B37" s="1" t="s">
        <v>212</v>
      </c>
      <c r="C37" s="1" t="s">
        <v>213</v>
      </c>
      <c r="D37" s="1" t="s">
        <v>214</v>
      </c>
      <c r="E37" s="2">
        <v>17796</v>
      </c>
      <c r="F37" s="1" t="s">
        <v>39</v>
      </c>
      <c r="G37">
        <v>5</v>
      </c>
      <c r="H37" s="1" t="s">
        <v>73</v>
      </c>
      <c r="I37">
        <v>2024</v>
      </c>
      <c r="J37" s="1" t="s">
        <v>215</v>
      </c>
      <c r="K37" s="1" t="s">
        <v>41</v>
      </c>
      <c r="L37" s="1" t="s">
        <v>64</v>
      </c>
      <c r="M37" s="2">
        <v>43693</v>
      </c>
      <c r="N37">
        <v>312</v>
      </c>
      <c r="O37">
        <v>18</v>
      </c>
      <c r="P37">
        <v>8.99</v>
      </c>
      <c r="Q37" s="1" t="s">
        <v>65</v>
      </c>
      <c r="R37" s="1" t="s">
        <v>66</v>
      </c>
      <c r="S37" s="1" t="s">
        <v>67</v>
      </c>
      <c r="T37" s="1" t="s">
        <v>39</v>
      </c>
      <c r="U37">
        <v>1969</v>
      </c>
      <c r="V37">
        <v>2320000</v>
      </c>
    </row>
    <row r="38" spans="1:22" x14ac:dyDescent="0.3">
      <c r="A38" s="1" t="s">
        <v>216</v>
      </c>
      <c r="B38" s="1" t="s">
        <v>217</v>
      </c>
      <c r="C38" s="1" t="s">
        <v>218</v>
      </c>
      <c r="D38" s="1" t="s">
        <v>219</v>
      </c>
      <c r="E38" s="2">
        <v>31188</v>
      </c>
      <c r="F38" s="1" t="s">
        <v>34</v>
      </c>
      <c r="G38">
        <v>3</v>
      </c>
      <c r="H38" s="1" t="s">
        <v>128</v>
      </c>
      <c r="I38">
        <v>2023</v>
      </c>
      <c r="J38" s="1" t="s">
        <v>220</v>
      </c>
      <c r="K38" s="1" t="s">
        <v>29</v>
      </c>
      <c r="L38" s="1" t="s">
        <v>64</v>
      </c>
      <c r="M38" s="2">
        <v>42898</v>
      </c>
      <c r="N38">
        <v>378</v>
      </c>
      <c r="O38">
        <v>10</v>
      </c>
      <c r="P38">
        <v>28.99</v>
      </c>
      <c r="Q38" s="1" t="s">
        <v>65</v>
      </c>
      <c r="R38" s="1" t="s">
        <v>66</v>
      </c>
      <c r="S38" s="1" t="s">
        <v>67</v>
      </c>
      <c r="T38" s="1" t="s">
        <v>39</v>
      </c>
      <c r="U38">
        <v>1969</v>
      </c>
      <c r="V38">
        <v>2320000</v>
      </c>
    </row>
    <row r="39" spans="1:22" x14ac:dyDescent="0.3">
      <c r="A39" s="1" t="s">
        <v>221</v>
      </c>
      <c r="B39" s="1" t="s">
        <v>222</v>
      </c>
      <c r="C39" s="1" t="s">
        <v>223</v>
      </c>
      <c r="D39" s="1" t="s">
        <v>224</v>
      </c>
      <c r="E39" s="2">
        <v>31382</v>
      </c>
      <c r="F39" s="1" t="s">
        <v>34</v>
      </c>
      <c r="G39">
        <v>4</v>
      </c>
      <c r="H39" s="1"/>
      <c r="J39" s="1" t="s">
        <v>225</v>
      </c>
      <c r="K39" s="1" t="s">
        <v>41</v>
      </c>
      <c r="L39" s="1" t="s">
        <v>64</v>
      </c>
      <c r="M39" s="2">
        <v>43667</v>
      </c>
      <c r="N39">
        <v>295</v>
      </c>
      <c r="O39">
        <v>16</v>
      </c>
      <c r="P39">
        <v>8.99</v>
      </c>
      <c r="Q39" s="1" t="s">
        <v>65</v>
      </c>
      <c r="R39" s="1" t="s">
        <v>66</v>
      </c>
      <c r="S39" s="1" t="s">
        <v>67</v>
      </c>
      <c r="T39" s="1" t="s">
        <v>39</v>
      </c>
      <c r="U39">
        <v>1969</v>
      </c>
      <c r="V39">
        <v>2320000</v>
      </c>
    </row>
    <row r="40" spans="1:22" x14ac:dyDescent="0.3">
      <c r="A40" s="1" t="s">
        <v>221</v>
      </c>
      <c r="B40" s="1" t="s">
        <v>222</v>
      </c>
      <c r="C40" s="1" t="s">
        <v>223</v>
      </c>
      <c r="D40" s="1" t="s">
        <v>224</v>
      </c>
      <c r="E40" s="2">
        <v>31382</v>
      </c>
      <c r="F40" s="1" t="s">
        <v>34</v>
      </c>
      <c r="G40">
        <v>4</v>
      </c>
      <c r="H40" s="1"/>
      <c r="J40" s="1" t="s">
        <v>226</v>
      </c>
      <c r="K40" s="1" t="s">
        <v>29</v>
      </c>
      <c r="L40" s="1" t="s">
        <v>150</v>
      </c>
      <c r="M40" s="2">
        <v>43229</v>
      </c>
      <c r="N40">
        <v>330</v>
      </c>
      <c r="O40">
        <v>6</v>
      </c>
      <c r="P40">
        <v>2.65</v>
      </c>
      <c r="Q40" s="1" t="s">
        <v>151</v>
      </c>
      <c r="R40" s="1" t="s">
        <v>152</v>
      </c>
      <c r="S40" s="1" t="s">
        <v>153</v>
      </c>
      <c r="T40" s="1" t="s">
        <v>154</v>
      </c>
      <c r="U40">
        <v>2003</v>
      </c>
      <c r="V40">
        <v>151000</v>
      </c>
    </row>
    <row r="41" spans="1:22" x14ac:dyDescent="0.3">
      <c r="A41" s="1" t="s">
        <v>227</v>
      </c>
      <c r="B41" s="1" t="s">
        <v>228</v>
      </c>
      <c r="C41" s="1" t="s">
        <v>229</v>
      </c>
      <c r="D41" s="1" t="s">
        <v>230</v>
      </c>
      <c r="E41" s="2">
        <v>29715</v>
      </c>
      <c r="F41" s="1" t="s">
        <v>39</v>
      </c>
      <c r="G41">
        <v>3</v>
      </c>
      <c r="H41" s="1"/>
      <c r="J41" s="1" t="s">
        <v>231</v>
      </c>
      <c r="K41" s="1" t="s">
        <v>29</v>
      </c>
      <c r="L41" s="1" t="s">
        <v>150</v>
      </c>
      <c r="M41" s="2">
        <v>44030</v>
      </c>
      <c r="N41">
        <v>360</v>
      </c>
      <c r="O41">
        <v>8</v>
      </c>
      <c r="P41">
        <v>2.85</v>
      </c>
      <c r="Q41" s="1" t="s">
        <v>151</v>
      </c>
      <c r="R41" s="1" t="s">
        <v>152</v>
      </c>
      <c r="S41" s="1" t="s">
        <v>153</v>
      </c>
      <c r="T41" s="1" t="s">
        <v>154</v>
      </c>
      <c r="U41">
        <v>2003</v>
      </c>
      <c r="V41">
        <v>151000</v>
      </c>
    </row>
    <row r="42" spans="1:22" x14ac:dyDescent="0.3">
      <c r="A42" s="1" t="s">
        <v>232</v>
      </c>
      <c r="B42" s="1" t="s">
        <v>233</v>
      </c>
      <c r="C42" s="1" t="s">
        <v>234</v>
      </c>
      <c r="D42" s="1" t="s">
        <v>235</v>
      </c>
      <c r="E42" s="2">
        <v>33276</v>
      </c>
      <c r="F42" s="1" t="s">
        <v>236</v>
      </c>
      <c r="G42">
        <v>5</v>
      </c>
      <c r="H42" s="1"/>
      <c r="J42" s="1" t="s">
        <v>237</v>
      </c>
      <c r="K42" s="1" t="s">
        <v>29</v>
      </c>
      <c r="L42" s="1" t="s">
        <v>64</v>
      </c>
      <c r="M42" s="2">
        <v>43952</v>
      </c>
      <c r="N42">
        <v>398</v>
      </c>
      <c r="O42">
        <v>6</v>
      </c>
      <c r="P42">
        <v>28.99</v>
      </c>
      <c r="Q42" s="1" t="s">
        <v>65</v>
      </c>
      <c r="R42" s="1" t="s">
        <v>66</v>
      </c>
      <c r="S42" s="1" t="s">
        <v>67</v>
      </c>
      <c r="T42" s="1" t="s">
        <v>39</v>
      </c>
      <c r="U42">
        <v>1969</v>
      </c>
      <c r="V42">
        <v>2320000</v>
      </c>
    </row>
    <row r="43" spans="1:22" x14ac:dyDescent="0.3">
      <c r="A43" s="1" t="s">
        <v>238</v>
      </c>
      <c r="B43" s="1" t="s">
        <v>239</v>
      </c>
      <c r="C43" s="1" t="s">
        <v>240</v>
      </c>
      <c r="D43" s="1" t="s">
        <v>241</v>
      </c>
      <c r="E43" s="2">
        <v>31654</v>
      </c>
      <c r="F43" s="1" t="s">
        <v>197</v>
      </c>
      <c r="G43">
        <v>4</v>
      </c>
      <c r="H43" s="1"/>
      <c r="J43" s="1" t="s">
        <v>242</v>
      </c>
      <c r="K43" s="1" t="s">
        <v>49</v>
      </c>
      <c r="L43" s="1" t="s">
        <v>150</v>
      </c>
      <c r="M43" s="2">
        <v>43912</v>
      </c>
      <c r="N43">
        <v>310</v>
      </c>
      <c r="O43">
        <v>7</v>
      </c>
      <c r="P43">
        <v>2.0499999999999998</v>
      </c>
      <c r="Q43" s="1" t="s">
        <v>151</v>
      </c>
      <c r="R43" s="1" t="s">
        <v>152</v>
      </c>
      <c r="S43" s="1" t="s">
        <v>153</v>
      </c>
      <c r="T43" s="1" t="s">
        <v>154</v>
      </c>
      <c r="U43">
        <v>2003</v>
      </c>
      <c r="V43">
        <v>151000</v>
      </c>
    </row>
    <row r="44" spans="1:22" x14ac:dyDescent="0.3">
      <c r="A44" s="1" t="s">
        <v>238</v>
      </c>
      <c r="B44" s="1" t="s">
        <v>239</v>
      </c>
      <c r="C44" s="1" t="s">
        <v>240</v>
      </c>
      <c r="D44" s="1" t="s">
        <v>241</v>
      </c>
      <c r="E44" s="2">
        <v>31654</v>
      </c>
      <c r="F44" s="1" t="s">
        <v>197</v>
      </c>
      <c r="G44">
        <v>4</v>
      </c>
      <c r="H44" s="1"/>
      <c r="J44" s="1" t="s">
        <v>243</v>
      </c>
      <c r="K44" s="1" t="s">
        <v>29</v>
      </c>
      <c r="L44" s="1" t="s">
        <v>30</v>
      </c>
      <c r="M44" s="2">
        <v>43476</v>
      </c>
      <c r="N44">
        <v>301</v>
      </c>
      <c r="O44">
        <v>5</v>
      </c>
      <c r="P44">
        <v>24.99</v>
      </c>
      <c r="Q44" s="1" t="s">
        <v>31</v>
      </c>
      <c r="R44" s="1" t="s">
        <v>32</v>
      </c>
      <c r="S44" s="1" t="s">
        <v>33</v>
      </c>
      <c r="T44" s="1" t="s">
        <v>34</v>
      </c>
      <c r="U44">
        <v>2022</v>
      </c>
      <c r="V44">
        <v>48000</v>
      </c>
    </row>
    <row r="45" spans="1:22" x14ac:dyDescent="0.3">
      <c r="A45" s="1" t="s">
        <v>244</v>
      </c>
      <c r="B45" s="1" t="s">
        <v>245</v>
      </c>
      <c r="C45" s="1" t="s">
        <v>246</v>
      </c>
      <c r="D45" s="1" t="s">
        <v>247</v>
      </c>
      <c r="E45" s="2">
        <v>27502</v>
      </c>
      <c r="F45" s="1" t="s">
        <v>39</v>
      </c>
      <c r="G45">
        <v>2</v>
      </c>
      <c r="H45" s="1"/>
      <c r="J45" s="1" t="s">
        <v>248</v>
      </c>
      <c r="K45" s="1" t="s">
        <v>29</v>
      </c>
      <c r="L45" s="1" t="s">
        <v>64</v>
      </c>
      <c r="M45" s="2">
        <v>43782</v>
      </c>
      <c r="N45">
        <v>399</v>
      </c>
      <c r="O45">
        <v>10</v>
      </c>
      <c r="P45">
        <v>28.99</v>
      </c>
      <c r="Q45" s="1" t="s">
        <v>65</v>
      </c>
      <c r="R45" s="1" t="s">
        <v>66</v>
      </c>
      <c r="S45" s="1" t="s">
        <v>67</v>
      </c>
      <c r="T45" s="1" t="s">
        <v>39</v>
      </c>
      <c r="U45">
        <v>1969</v>
      </c>
      <c r="V45">
        <v>2320000</v>
      </c>
    </row>
    <row r="46" spans="1:22" x14ac:dyDescent="0.3">
      <c r="A46" s="1" t="s">
        <v>249</v>
      </c>
      <c r="B46" s="1" t="s">
        <v>250</v>
      </c>
      <c r="C46" s="1" t="s">
        <v>251</v>
      </c>
      <c r="D46" s="1" t="s">
        <v>252</v>
      </c>
      <c r="E46" s="2">
        <v>30159</v>
      </c>
      <c r="F46" s="1" t="s">
        <v>93</v>
      </c>
      <c r="G46">
        <v>3</v>
      </c>
      <c r="H46" s="1"/>
      <c r="J46" s="1" t="s">
        <v>253</v>
      </c>
      <c r="K46" s="1" t="s">
        <v>49</v>
      </c>
      <c r="L46" s="1" t="s">
        <v>30</v>
      </c>
      <c r="M46" s="2">
        <v>44075</v>
      </c>
      <c r="N46">
        <v>288</v>
      </c>
      <c r="O46">
        <v>11</v>
      </c>
      <c r="P46">
        <v>20.99</v>
      </c>
      <c r="Q46" s="1" t="s">
        <v>31</v>
      </c>
      <c r="R46" s="1" t="s">
        <v>32</v>
      </c>
      <c r="S46" s="1" t="s">
        <v>33</v>
      </c>
      <c r="T46" s="1" t="s">
        <v>34</v>
      </c>
      <c r="U46">
        <v>2022</v>
      </c>
      <c r="V46">
        <v>48000</v>
      </c>
    </row>
    <row r="47" spans="1:22" x14ac:dyDescent="0.3">
      <c r="A47" s="1" t="s">
        <v>254</v>
      </c>
      <c r="B47" s="1" t="s">
        <v>255</v>
      </c>
      <c r="C47" s="1" t="s">
        <v>256</v>
      </c>
      <c r="D47" s="1" t="s">
        <v>257</v>
      </c>
      <c r="E47" s="2">
        <v>28478</v>
      </c>
      <c r="F47" s="1" t="s">
        <v>39</v>
      </c>
      <c r="G47">
        <v>3</v>
      </c>
      <c r="H47" s="1"/>
      <c r="J47" s="1" t="s">
        <v>258</v>
      </c>
      <c r="K47" s="1" t="s">
        <v>29</v>
      </c>
      <c r="L47" s="1" t="s">
        <v>64</v>
      </c>
      <c r="M47" s="2">
        <v>43733</v>
      </c>
      <c r="N47">
        <v>362</v>
      </c>
      <c r="O47">
        <v>7</v>
      </c>
      <c r="P47">
        <v>27.99</v>
      </c>
      <c r="Q47" s="1" t="s">
        <v>65</v>
      </c>
      <c r="R47" s="1" t="s">
        <v>66</v>
      </c>
      <c r="S47" s="1" t="s">
        <v>67</v>
      </c>
      <c r="T47" s="1" t="s">
        <v>39</v>
      </c>
      <c r="U47">
        <v>1969</v>
      </c>
      <c r="V47">
        <v>2320000</v>
      </c>
    </row>
    <row r="48" spans="1:22" x14ac:dyDescent="0.3">
      <c r="A48" s="1" t="s">
        <v>259</v>
      </c>
      <c r="B48" s="1" t="s">
        <v>260</v>
      </c>
      <c r="C48" s="1" t="s">
        <v>261</v>
      </c>
      <c r="D48" s="1" t="s">
        <v>262</v>
      </c>
      <c r="E48" s="2">
        <v>27559</v>
      </c>
      <c r="F48" s="1" t="s">
        <v>39</v>
      </c>
      <c r="G48">
        <v>3</v>
      </c>
      <c r="H48" s="1"/>
      <c r="J48" s="1" t="s">
        <v>263</v>
      </c>
      <c r="K48" s="1" t="s">
        <v>29</v>
      </c>
      <c r="L48" s="1" t="s">
        <v>150</v>
      </c>
      <c r="M48" s="2">
        <v>43848</v>
      </c>
      <c r="N48">
        <v>399</v>
      </c>
      <c r="O48">
        <v>8</v>
      </c>
      <c r="P48">
        <v>28.99</v>
      </c>
      <c r="Q48" s="1" t="s">
        <v>151</v>
      </c>
      <c r="R48" s="1" t="s">
        <v>152</v>
      </c>
      <c r="S48" s="1" t="s">
        <v>153</v>
      </c>
      <c r="T48" s="1" t="s">
        <v>154</v>
      </c>
      <c r="U48">
        <v>2003</v>
      </c>
      <c r="V48">
        <v>151000</v>
      </c>
    </row>
    <row r="49" spans="1:22" x14ac:dyDescent="0.3">
      <c r="A49" s="1" t="s">
        <v>264</v>
      </c>
      <c r="B49" s="1" t="s">
        <v>265</v>
      </c>
      <c r="C49" s="1" t="s">
        <v>266</v>
      </c>
      <c r="D49" s="1" t="s">
        <v>267</v>
      </c>
      <c r="E49" s="2">
        <v>29709</v>
      </c>
      <c r="F49" s="1" t="s">
        <v>39</v>
      </c>
      <c r="G49">
        <v>4</v>
      </c>
      <c r="H49" s="1"/>
      <c r="J49" s="1" t="s">
        <v>268</v>
      </c>
      <c r="K49" s="1" t="s">
        <v>49</v>
      </c>
      <c r="L49" s="1" t="s">
        <v>64</v>
      </c>
      <c r="M49" s="2">
        <v>43945</v>
      </c>
      <c r="N49">
        <v>328</v>
      </c>
      <c r="O49">
        <v>9</v>
      </c>
      <c r="P49">
        <v>2.25</v>
      </c>
      <c r="Q49" s="1" t="s">
        <v>65</v>
      </c>
      <c r="R49" s="1" t="s">
        <v>66</v>
      </c>
      <c r="S49" s="1" t="s">
        <v>67</v>
      </c>
      <c r="T49" s="1" t="s">
        <v>39</v>
      </c>
      <c r="U49">
        <v>1969</v>
      </c>
      <c r="V49">
        <v>2320000</v>
      </c>
    </row>
    <row r="50" spans="1:22" x14ac:dyDescent="0.3">
      <c r="A50" s="1" t="s">
        <v>264</v>
      </c>
      <c r="B50" s="1" t="s">
        <v>265</v>
      </c>
      <c r="C50" s="1" t="s">
        <v>266</v>
      </c>
      <c r="D50" s="1" t="s">
        <v>267</v>
      </c>
      <c r="E50" s="2">
        <v>29709</v>
      </c>
      <c r="F50" s="1" t="s">
        <v>39</v>
      </c>
      <c r="G50">
        <v>4</v>
      </c>
      <c r="H50" s="1"/>
      <c r="J50" s="1" t="s">
        <v>269</v>
      </c>
      <c r="K50" s="1" t="s">
        <v>29</v>
      </c>
      <c r="L50" s="1" t="s">
        <v>30</v>
      </c>
      <c r="M50" s="2">
        <v>43508</v>
      </c>
      <c r="N50">
        <v>340</v>
      </c>
      <c r="O50">
        <v>6</v>
      </c>
      <c r="P50">
        <v>26.99</v>
      </c>
      <c r="Q50" s="1" t="s">
        <v>31</v>
      </c>
      <c r="R50" s="1" t="s">
        <v>32</v>
      </c>
      <c r="S50" s="1" t="s">
        <v>33</v>
      </c>
      <c r="T50" s="1" t="s">
        <v>34</v>
      </c>
      <c r="U50">
        <v>2022</v>
      </c>
      <c r="V50">
        <v>48000</v>
      </c>
    </row>
    <row r="51" spans="1:22" x14ac:dyDescent="0.3">
      <c r="A51" s="1" t="s">
        <v>270</v>
      </c>
      <c r="B51" s="1" t="s">
        <v>271</v>
      </c>
      <c r="C51" s="1" t="s">
        <v>272</v>
      </c>
      <c r="D51" s="1" t="s">
        <v>273</v>
      </c>
      <c r="E51" s="2">
        <v>24285</v>
      </c>
      <c r="F51" s="1" t="s">
        <v>39</v>
      </c>
      <c r="G51">
        <v>5</v>
      </c>
      <c r="H51" s="1"/>
      <c r="J51" s="1" t="s">
        <v>274</v>
      </c>
      <c r="K51" s="1" t="s">
        <v>29</v>
      </c>
      <c r="L51" s="1" t="s">
        <v>64</v>
      </c>
      <c r="M51" s="2">
        <v>43942</v>
      </c>
      <c r="N51">
        <v>390</v>
      </c>
      <c r="O51">
        <v>7</v>
      </c>
      <c r="P51">
        <v>28.99</v>
      </c>
      <c r="Q51" s="1" t="s">
        <v>65</v>
      </c>
      <c r="R51" s="1" t="s">
        <v>66</v>
      </c>
      <c r="S51" s="1" t="s">
        <v>67</v>
      </c>
      <c r="T51" s="1" t="s">
        <v>39</v>
      </c>
      <c r="U51">
        <v>1969</v>
      </c>
      <c r="V51">
        <v>2320000</v>
      </c>
    </row>
    <row r="52" spans="1:22" x14ac:dyDescent="0.3">
      <c r="A52" s="1" t="s">
        <v>275</v>
      </c>
      <c r="B52" s="1" t="s">
        <v>276</v>
      </c>
      <c r="C52" s="1" t="s">
        <v>277</v>
      </c>
      <c r="D52" s="1" t="s">
        <v>278</v>
      </c>
      <c r="E52" s="2">
        <v>23954</v>
      </c>
      <c r="F52" s="1" t="s">
        <v>34</v>
      </c>
      <c r="G52">
        <v>6</v>
      </c>
      <c r="H52" s="1" t="s">
        <v>128</v>
      </c>
      <c r="I52">
        <v>2016</v>
      </c>
      <c r="J52" s="1" t="s">
        <v>279</v>
      </c>
      <c r="K52" s="1" t="s">
        <v>29</v>
      </c>
      <c r="L52" s="1" t="s">
        <v>150</v>
      </c>
      <c r="M52" s="2">
        <v>44107</v>
      </c>
      <c r="N52">
        <v>402</v>
      </c>
      <c r="O52">
        <v>9</v>
      </c>
      <c r="P52">
        <v>29.99</v>
      </c>
      <c r="Q52" s="1" t="s">
        <v>151</v>
      </c>
      <c r="R52" s="1" t="s">
        <v>152</v>
      </c>
      <c r="S52" s="1" t="s">
        <v>153</v>
      </c>
      <c r="T52" s="1" t="s">
        <v>154</v>
      </c>
      <c r="U52">
        <v>2003</v>
      </c>
      <c r="V52">
        <v>151000</v>
      </c>
    </row>
    <row r="53" spans="1:22" x14ac:dyDescent="0.3">
      <c r="A53" s="1" t="s">
        <v>280</v>
      </c>
      <c r="B53" s="1" t="s">
        <v>281</v>
      </c>
      <c r="C53" s="1" t="s">
        <v>277</v>
      </c>
      <c r="D53" s="1" t="s">
        <v>278</v>
      </c>
      <c r="E53" s="2">
        <v>23954</v>
      </c>
      <c r="F53" s="1" t="s">
        <v>34</v>
      </c>
      <c r="G53">
        <v>6</v>
      </c>
      <c r="H53" s="1"/>
      <c r="J53" s="1" t="s">
        <v>282</v>
      </c>
      <c r="K53" s="1" t="s">
        <v>29</v>
      </c>
      <c r="L53" s="1" t="s">
        <v>64</v>
      </c>
      <c r="M53" s="2">
        <v>43382</v>
      </c>
      <c r="N53">
        <v>312</v>
      </c>
      <c r="O53">
        <v>7</v>
      </c>
      <c r="P53">
        <v>2.65</v>
      </c>
      <c r="Q53" s="1" t="s">
        <v>65</v>
      </c>
      <c r="R53" s="1" t="s">
        <v>66</v>
      </c>
      <c r="S53" s="1" t="s">
        <v>67</v>
      </c>
      <c r="T53" s="1" t="s">
        <v>39</v>
      </c>
      <c r="U53">
        <v>1969</v>
      </c>
      <c r="V53">
        <v>2320000</v>
      </c>
    </row>
    <row r="54" spans="1:22" x14ac:dyDescent="0.3">
      <c r="A54" s="1" t="s">
        <v>283</v>
      </c>
      <c r="B54" s="1" t="s">
        <v>284</v>
      </c>
      <c r="C54" s="1" t="s">
        <v>285</v>
      </c>
      <c r="D54" s="1" t="s">
        <v>286</v>
      </c>
      <c r="E54" s="2">
        <v>26639</v>
      </c>
      <c r="F54" s="1" t="s">
        <v>203</v>
      </c>
      <c r="G54">
        <v>6</v>
      </c>
      <c r="H54" s="1" t="s">
        <v>27</v>
      </c>
      <c r="I54">
        <v>2019</v>
      </c>
      <c r="J54" s="1" t="s">
        <v>287</v>
      </c>
      <c r="K54" s="1" t="s">
        <v>29</v>
      </c>
      <c r="L54" s="1" t="s">
        <v>86</v>
      </c>
      <c r="M54" s="2">
        <v>43265</v>
      </c>
      <c r="N54">
        <v>342</v>
      </c>
      <c r="O54">
        <v>7</v>
      </c>
      <c r="P54">
        <v>26.99</v>
      </c>
      <c r="Q54" s="1" t="s">
        <v>87</v>
      </c>
      <c r="R54" s="1" t="s">
        <v>88</v>
      </c>
      <c r="S54" s="1" t="s">
        <v>67</v>
      </c>
      <c r="T54" s="1" t="s">
        <v>39</v>
      </c>
      <c r="U54">
        <v>1986</v>
      </c>
      <c r="V54">
        <v>72000</v>
      </c>
    </row>
    <row r="55" spans="1:22" x14ac:dyDescent="0.3">
      <c r="A55" s="1" t="s">
        <v>288</v>
      </c>
      <c r="B55" s="1" t="s">
        <v>289</v>
      </c>
      <c r="C55" s="1" t="s">
        <v>290</v>
      </c>
      <c r="D55" s="1" t="s">
        <v>291</v>
      </c>
      <c r="E55" s="2">
        <v>30564</v>
      </c>
      <c r="F55" s="1" t="s">
        <v>34</v>
      </c>
      <c r="G55">
        <v>3</v>
      </c>
      <c r="H55" s="1"/>
      <c r="J55" s="1" t="s">
        <v>292</v>
      </c>
      <c r="K55" s="1" t="s">
        <v>41</v>
      </c>
      <c r="L55" s="1" t="s">
        <v>30</v>
      </c>
      <c r="M55" s="2">
        <v>43544</v>
      </c>
      <c r="N55">
        <v>285</v>
      </c>
      <c r="O55">
        <v>17</v>
      </c>
      <c r="P55">
        <v>0.95</v>
      </c>
      <c r="Q55" s="1" t="s">
        <v>31</v>
      </c>
      <c r="R55" s="1" t="s">
        <v>32</v>
      </c>
      <c r="S55" s="1" t="s">
        <v>33</v>
      </c>
      <c r="T55" s="1" t="s">
        <v>34</v>
      </c>
      <c r="U55">
        <v>2022</v>
      </c>
      <c r="V55">
        <v>48000</v>
      </c>
    </row>
    <row r="56" spans="1:22" x14ac:dyDescent="0.3">
      <c r="A56" s="1" t="s">
        <v>293</v>
      </c>
      <c r="B56" s="1" t="s">
        <v>294</v>
      </c>
      <c r="C56" s="1" t="s">
        <v>295</v>
      </c>
      <c r="D56" s="1" t="s">
        <v>296</v>
      </c>
      <c r="E56" s="2">
        <v>25580</v>
      </c>
      <c r="F56" s="1" t="s">
        <v>39</v>
      </c>
      <c r="G56">
        <v>4</v>
      </c>
      <c r="H56" s="1"/>
      <c r="J56" s="1" t="s">
        <v>297</v>
      </c>
      <c r="K56" s="1" t="s">
        <v>29</v>
      </c>
      <c r="L56" s="1" t="s">
        <v>64</v>
      </c>
      <c r="M56" s="2">
        <v>43108</v>
      </c>
      <c r="N56">
        <v>377</v>
      </c>
      <c r="O56">
        <v>5</v>
      </c>
      <c r="P56">
        <v>2.95</v>
      </c>
      <c r="Q56" s="1" t="s">
        <v>65</v>
      </c>
      <c r="R56" s="1" t="s">
        <v>66</v>
      </c>
      <c r="S56" s="1" t="s">
        <v>67</v>
      </c>
      <c r="T56" s="1" t="s">
        <v>39</v>
      </c>
      <c r="U56">
        <v>1969</v>
      </c>
      <c r="V56">
        <v>2320000</v>
      </c>
    </row>
    <row r="57" spans="1:22" x14ac:dyDescent="0.3">
      <c r="A57" s="1" t="s">
        <v>298</v>
      </c>
      <c r="B57" s="1" t="s">
        <v>299</v>
      </c>
      <c r="C57" s="1" t="s">
        <v>300</v>
      </c>
      <c r="D57" s="1" t="s">
        <v>301</v>
      </c>
      <c r="E57" s="2">
        <v>29536</v>
      </c>
      <c r="F57" s="1" t="s">
        <v>93</v>
      </c>
      <c r="G57">
        <v>4</v>
      </c>
      <c r="H57" s="1" t="s">
        <v>209</v>
      </c>
      <c r="I57">
        <v>2020</v>
      </c>
      <c r="J57" s="1" t="s">
        <v>302</v>
      </c>
      <c r="K57" s="1" t="s">
        <v>49</v>
      </c>
      <c r="L57" s="1" t="s">
        <v>64</v>
      </c>
      <c r="M57" s="2">
        <v>43730</v>
      </c>
      <c r="N57">
        <v>345</v>
      </c>
      <c r="O57">
        <v>12</v>
      </c>
      <c r="P57">
        <v>22.99</v>
      </c>
      <c r="Q57" s="1" t="s">
        <v>65</v>
      </c>
      <c r="R57" s="1" t="s">
        <v>66</v>
      </c>
      <c r="S57" s="1" t="s">
        <v>67</v>
      </c>
      <c r="T57" s="1" t="s">
        <v>39</v>
      </c>
      <c r="U57">
        <v>1969</v>
      </c>
      <c r="V57">
        <v>2320000</v>
      </c>
    </row>
    <row r="58" spans="1:22" x14ac:dyDescent="0.3">
      <c r="A58" s="1" t="s">
        <v>303</v>
      </c>
      <c r="B58" s="1" t="s">
        <v>304</v>
      </c>
      <c r="C58" s="1" t="s">
        <v>300</v>
      </c>
      <c r="D58" s="1" t="s">
        <v>301</v>
      </c>
      <c r="E58" s="2">
        <v>29536</v>
      </c>
      <c r="F58" s="1" t="s">
        <v>93</v>
      </c>
      <c r="G58">
        <v>4</v>
      </c>
      <c r="H58" s="1"/>
      <c r="J58" s="1" t="s">
        <v>305</v>
      </c>
      <c r="K58" s="1" t="s">
        <v>49</v>
      </c>
      <c r="L58" s="1" t="s">
        <v>30</v>
      </c>
      <c r="M58" s="2">
        <v>43505</v>
      </c>
      <c r="N58">
        <v>337</v>
      </c>
      <c r="O58">
        <v>8</v>
      </c>
      <c r="P58">
        <v>21.99</v>
      </c>
      <c r="Q58" s="1" t="s">
        <v>31</v>
      </c>
      <c r="R58" s="1" t="s">
        <v>32</v>
      </c>
      <c r="S58" s="1" t="s">
        <v>33</v>
      </c>
      <c r="T58" s="1" t="s">
        <v>34</v>
      </c>
      <c r="U58">
        <v>2022</v>
      </c>
      <c r="V58">
        <v>48000</v>
      </c>
    </row>
    <row r="59" spans="1:22" x14ac:dyDescent="0.3">
      <c r="A59" s="1" t="s">
        <v>306</v>
      </c>
      <c r="B59" s="1" t="s">
        <v>307</v>
      </c>
      <c r="C59" s="1" t="s">
        <v>308</v>
      </c>
      <c r="D59" s="1" t="s">
        <v>309</v>
      </c>
      <c r="E59" s="2">
        <v>32946</v>
      </c>
      <c r="F59" s="1" t="s">
        <v>39</v>
      </c>
      <c r="G59">
        <v>5</v>
      </c>
      <c r="H59" s="1"/>
      <c r="J59" s="1" t="s">
        <v>310</v>
      </c>
      <c r="K59" s="1" t="s">
        <v>29</v>
      </c>
      <c r="L59" s="1" t="s">
        <v>30</v>
      </c>
      <c r="M59" s="2">
        <v>43468</v>
      </c>
      <c r="N59">
        <v>355</v>
      </c>
      <c r="O59">
        <v>7</v>
      </c>
      <c r="P59">
        <v>2.75</v>
      </c>
      <c r="Q59" s="1" t="s">
        <v>31</v>
      </c>
      <c r="R59" s="1" t="s">
        <v>32</v>
      </c>
      <c r="S59" s="1" t="s">
        <v>33</v>
      </c>
      <c r="T59" s="1" t="s">
        <v>34</v>
      </c>
      <c r="U59">
        <v>2022</v>
      </c>
      <c r="V59">
        <v>48000</v>
      </c>
    </row>
    <row r="60" spans="1:22" x14ac:dyDescent="0.3">
      <c r="A60" s="1" t="s">
        <v>306</v>
      </c>
      <c r="B60" s="1" t="s">
        <v>307</v>
      </c>
      <c r="C60" s="1" t="s">
        <v>308</v>
      </c>
      <c r="D60" s="1" t="s">
        <v>309</v>
      </c>
      <c r="E60" s="2">
        <v>32946</v>
      </c>
      <c r="F60" s="1" t="s">
        <v>39</v>
      </c>
      <c r="G60">
        <v>5</v>
      </c>
      <c r="H60" s="1"/>
      <c r="J60" s="1" t="s">
        <v>311</v>
      </c>
      <c r="K60" s="1" t="s">
        <v>41</v>
      </c>
      <c r="L60" s="1" t="s">
        <v>64</v>
      </c>
      <c r="M60" s="2">
        <v>43051</v>
      </c>
      <c r="N60">
        <v>280</v>
      </c>
      <c r="O60">
        <v>17</v>
      </c>
      <c r="P60">
        <v>8.99</v>
      </c>
      <c r="Q60" s="1" t="s">
        <v>65</v>
      </c>
      <c r="R60" s="1" t="s">
        <v>66</v>
      </c>
      <c r="S60" s="1" t="s">
        <v>67</v>
      </c>
      <c r="T60" s="1" t="s">
        <v>39</v>
      </c>
      <c r="U60">
        <v>1969</v>
      </c>
      <c r="V60">
        <v>2320000</v>
      </c>
    </row>
    <row r="61" spans="1:22" x14ac:dyDescent="0.3">
      <c r="A61" s="1" t="s">
        <v>312</v>
      </c>
      <c r="B61" s="1" t="s">
        <v>313</v>
      </c>
      <c r="C61" s="1" t="s">
        <v>314</v>
      </c>
      <c r="D61" s="1" t="s">
        <v>315</v>
      </c>
      <c r="E61" s="2">
        <v>32126</v>
      </c>
      <c r="F61" s="1" t="s">
        <v>34</v>
      </c>
      <c r="G61">
        <v>4</v>
      </c>
      <c r="H61" s="1" t="s">
        <v>162</v>
      </c>
      <c r="I61">
        <v>2019</v>
      </c>
      <c r="J61" s="1" t="s">
        <v>316</v>
      </c>
      <c r="K61" s="1" t="s">
        <v>49</v>
      </c>
      <c r="L61" s="1" t="s">
        <v>64</v>
      </c>
      <c r="M61" s="2">
        <v>43566</v>
      </c>
      <c r="N61">
        <v>358</v>
      </c>
      <c r="O61">
        <v>9</v>
      </c>
      <c r="P61">
        <v>22.99</v>
      </c>
      <c r="Q61" s="1" t="s">
        <v>65</v>
      </c>
      <c r="R61" s="1" t="s">
        <v>66</v>
      </c>
      <c r="S61" s="1" t="s">
        <v>67</v>
      </c>
      <c r="T61" s="1" t="s">
        <v>39</v>
      </c>
      <c r="U61">
        <v>1969</v>
      </c>
      <c r="V61">
        <v>2320000</v>
      </c>
    </row>
    <row r="62" spans="1:22" x14ac:dyDescent="0.3">
      <c r="A62" s="1" t="s">
        <v>317</v>
      </c>
      <c r="B62" s="1" t="s">
        <v>318</v>
      </c>
      <c r="C62" s="1" t="s">
        <v>319</v>
      </c>
      <c r="D62" s="1" t="s">
        <v>320</v>
      </c>
      <c r="E62" s="2">
        <v>29163</v>
      </c>
      <c r="F62" s="1" t="s">
        <v>34</v>
      </c>
      <c r="G62">
        <v>4</v>
      </c>
      <c r="H62" s="1"/>
      <c r="J62" s="1" t="s">
        <v>321</v>
      </c>
      <c r="K62" s="1" t="s">
        <v>29</v>
      </c>
      <c r="L62" s="1" t="s">
        <v>86</v>
      </c>
      <c r="M62" s="2">
        <v>42928</v>
      </c>
      <c r="N62">
        <v>394</v>
      </c>
      <c r="O62">
        <v>6</v>
      </c>
      <c r="P62">
        <v>30.99</v>
      </c>
      <c r="Q62" s="1" t="s">
        <v>87</v>
      </c>
      <c r="R62" s="1" t="s">
        <v>88</v>
      </c>
      <c r="S62" s="1" t="s">
        <v>67</v>
      </c>
      <c r="T62" s="1" t="s">
        <v>39</v>
      </c>
      <c r="U62">
        <v>1986</v>
      </c>
      <c r="V62">
        <v>72000</v>
      </c>
    </row>
    <row r="63" spans="1:22" x14ac:dyDescent="0.3">
      <c r="A63" s="1" t="s">
        <v>322</v>
      </c>
      <c r="B63" s="1" t="s">
        <v>323</v>
      </c>
      <c r="C63" s="1" t="s">
        <v>324</v>
      </c>
      <c r="D63" s="1" t="s">
        <v>325</v>
      </c>
      <c r="E63" s="2">
        <v>32023</v>
      </c>
      <c r="F63" s="1" t="s">
        <v>197</v>
      </c>
      <c r="G63">
        <v>3</v>
      </c>
      <c r="H63" s="1" t="s">
        <v>128</v>
      </c>
      <c r="I63">
        <v>2013</v>
      </c>
      <c r="J63" s="1" t="s">
        <v>326</v>
      </c>
      <c r="K63" s="1" t="s">
        <v>29</v>
      </c>
      <c r="L63" s="1" t="s">
        <v>64</v>
      </c>
      <c r="M63" s="2">
        <v>43409</v>
      </c>
      <c r="N63">
        <v>350</v>
      </c>
      <c r="O63">
        <v>5</v>
      </c>
      <c r="P63">
        <v>2.75</v>
      </c>
      <c r="Q63" s="1" t="s">
        <v>65</v>
      </c>
      <c r="R63" s="1" t="s">
        <v>66</v>
      </c>
      <c r="S63" s="1" t="s">
        <v>67</v>
      </c>
      <c r="T63" s="1" t="s">
        <v>39</v>
      </c>
      <c r="U63">
        <v>1969</v>
      </c>
      <c r="V63">
        <v>2320000</v>
      </c>
    </row>
    <row r="64" spans="1:22" x14ac:dyDescent="0.3">
      <c r="A64" s="1" t="s">
        <v>327</v>
      </c>
      <c r="B64" s="1" t="s">
        <v>328</v>
      </c>
      <c r="C64" s="1" t="s">
        <v>324</v>
      </c>
      <c r="D64" s="1" t="s">
        <v>325</v>
      </c>
      <c r="E64" s="2">
        <v>32023</v>
      </c>
      <c r="F64" s="1" t="s">
        <v>197</v>
      </c>
      <c r="G64">
        <v>3</v>
      </c>
      <c r="H64" s="1"/>
      <c r="J64" s="1" t="s">
        <v>329</v>
      </c>
      <c r="K64" s="1" t="s">
        <v>41</v>
      </c>
      <c r="L64" s="1" t="s">
        <v>150</v>
      </c>
      <c r="M64" s="2">
        <v>43254</v>
      </c>
      <c r="N64">
        <v>288</v>
      </c>
      <c r="O64">
        <v>15</v>
      </c>
      <c r="P64">
        <v>0.95</v>
      </c>
      <c r="Q64" s="1" t="s">
        <v>151</v>
      </c>
      <c r="R64" s="1" t="s">
        <v>152</v>
      </c>
      <c r="S64" s="1" t="s">
        <v>153</v>
      </c>
      <c r="T64" s="1" t="s">
        <v>154</v>
      </c>
      <c r="U64">
        <v>2003</v>
      </c>
      <c r="V64">
        <v>151000</v>
      </c>
    </row>
    <row r="65" spans="1:22" x14ac:dyDescent="0.3">
      <c r="A65" s="1" t="s">
        <v>330</v>
      </c>
      <c r="B65" s="1" t="s">
        <v>331</v>
      </c>
      <c r="C65" s="1" t="s">
        <v>332</v>
      </c>
      <c r="D65" s="1" t="s">
        <v>333</v>
      </c>
      <c r="E65" s="2">
        <v>34307</v>
      </c>
      <c r="F65" s="1" t="s">
        <v>334</v>
      </c>
      <c r="G65">
        <v>6</v>
      </c>
      <c r="H65" s="1" t="s">
        <v>162</v>
      </c>
      <c r="I65">
        <v>2021</v>
      </c>
      <c r="J65" s="1" t="s">
        <v>335</v>
      </c>
      <c r="K65" s="1" t="s">
        <v>49</v>
      </c>
      <c r="L65" s="1" t="s">
        <v>150</v>
      </c>
      <c r="M65" s="2">
        <v>42909</v>
      </c>
      <c r="N65">
        <v>355</v>
      </c>
      <c r="O65">
        <v>8</v>
      </c>
      <c r="P65">
        <v>21.99</v>
      </c>
      <c r="Q65" s="1" t="s">
        <v>151</v>
      </c>
      <c r="R65" s="1" t="s">
        <v>152</v>
      </c>
      <c r="S65" s="1" t="s">
        <v>153</v>
      </c>
      <c r="T65" s="1" t="s">
        <v>154</v>
      </c>
      <c r="U65">
        <v>2003</v>
      </c>
      <c r="V65">
        <v>151000</v>
      </c>
    </row>
    <row r="66" spans="1:22" x14ac:dyDescent="0.3">
      <c r="A66" s="1" t="s">
        <v>336</v>
      </c>
      <c r="B66" s="1" t="s">
        <v>337</v>
      </c>
      <c r="C66" s="1" t="s">
        <v>338</v>
      </c>
      <c r="D66" s="1" t="s">
        <v>339</v>
      </c>
      <c r="E66" s="2">
        <v>33525</v>
      </c>
      <c r="F66" s="1" t="s">
        <v>39</v>
      </c>
      <c r="G66">
        <v>5</v>
      </c>
      <c r="H66" s="1" t="s">
        <v>340</v>
      </c>
      <c r="I66">
        <v>2014</v>
      </c>
      <c r="J66" s="1" t="s">
        <v>341</v>
      </c>
      <c r="K66" s="1" t="s">
        <v>29</v>
      </c>
      <c r="L66" s="1" t="s">
        <v>64</v>
      </c>
      <c r="M66" s="2">
        <v>44123</v>
      </c>
      <c r="N66">
        <v>399</v>
      </c>
      <c r="O66">
        <v>8</v>
      </c>
      <c r="P66">
        <v>28.99</v>
      </c>
      <c r="Q66" s="1" t="s">
        <v>65</v>
      </c>
      <c r="R66" s="1" t="s">
        <v>66</v>
      </c>
      <c r="S66" s="1" t="s">
        <v>67</v>
      </c>
      <c r="T66" s="1" t="s">
        <v>39</v>
      </c>
      <c r="U66">
        <v>1969</v>
      </c>
      <c r="V66">
        <v>2320000</v>
      </c>
    </row>
    <row r="67" spans="1:22" x14ac:dyDescent="0.3">
      <c r="A67" s="1" t="s">
        <v>342</v>
      </c>
      <c r="B67" s="1" t="s">
        <v>343</v>
      </c>
      <c r="C67" s="1" t="s">
        <v>344</v>
      </c>
      <c r="D67" s="1" t="s">
        <v>345</v>
      </c>
      <c r="E67" s="2">
        <v>32814</v>
      </c>
      <c r="F67" s="1" t="s">
        <v>93</v>
      </c>
      <c r="G67">
        <v>4</v>
      </c>
      <c r="H67" s="1"/>
      <c r="J67" s="1" t="s">
        <v>346</v>
      </c>
      <c r="K67" s="1" t="s">
        <v>49</v>
      </c>
      <c r="L67" s="1" t="s">
        <v>30</v>
      </c>
      <c r="M67" s="2">
        <v>44141</v>
      </c>
      <c r="N67">
        <v>318</v>
      </c>
      <c r="O67">
        <v>11</v>
      </c>
      <c r="P67">
        <v>22.99</v>
      </c>
      <c r="Q67" s="1" t="s">
        <v>31</v>
      </c>
      <c r="R67" s="1" t="s">
        <v>32</v>
      </c>
      <c r="S67" s="1" t="s">
        <v>33</v>
      </c>
      <c r="T67" s="1" t="s">
        <v>34</v>
      </c>
      <c r="U67">
        <v>2022</v>
      </c>
      <c r="V67">
        <v>48000</v>
      </c>
    </row>
    <row r="68" spans="1:22" x14ac:dyDescent="0.3">
      <c r="A68" s="1" t="s">
        <v>347</v>
      </c>
      <c r="B68" s="1" t="s">
        <v>348</v>
      </c>
      <c r="C68" s="1" t="s">
        <v>349</v>
      </c>
      <c r="D68" s="1" t="s">
        <v>350</v>
      </c>
      <c r="E68" s="2">
        <v>32343</v>
      </c>
      <c r="F68" s="1" t="s">
        <v>34</v>
      </c>
      <c r="G68">
        <v>4</v>
      </c>
      <c r="H68" s="1" t="s">
        <v>27</v>
      </c>
      <c r="I68">
        <v>2020</v>
      </c>
      <c r="J68" s="1" t="s">
        <v>351</v>
      </c>
      <c r="K68" s="1" t="s">
        <v>41</v>
      </c>
      <c r="L68" s="1" t="s">
        <v>30</v>
      </c>
      <c r="M68" s="2">
        <v>44077</v>
      </c>
      <c r="N68">
        <v>278</v>
      </c>
      <c r="O68">
        <v>20</v>
      </c>
      <c r="P68">
        <v>8.99</v>
      </c>
      <c r="Q68" s="1" t="s">
        <v>31</v>
      </c>
      <c r="R68" s="1" t="s">
        <v>32</v>
      </c>
      <c r="S68" s="1" t="s">
        <v>33</v>
      </c>
      <c r="T68" s="1" t="s">
        <v>34</v>
      </c>
      <c r="U68">
        <v>2022</v>
      </c>
      <c r="V68">
        <v>48000</v>
      </c>
    </row>
    <row r="69" spans="1:22" x14ac:dyDescent="0.3">
      <c r="A69" s="1" t="s">
        <v>352</v>
      </c>
      <c r="B69" s="1" t="s">
        <v>353</v>
      </c>
      <c r="C69" s="1" t="s">
        <v>354</v>
      </c>
      <c r="D69" s="1" t="s">
        <v>355</v>
      </c>
      <c r="E69" s="2">
        <v>33662</v>
      </c>
      <c r="F69" s="1" t="s">
        <v>356</v>
      </c>
      <c r="G69">
        <v>4</v>
      </c>
      <c r="H69" s="1"/>
      <c r="J69" s="1" t="s">
        <v>357</v>
      </c>
      <c r="K69" s="1" t="s">
        <v>49</v>
      </c>
      <c r="L69" s="1" t="s">
        <v>30</v>
      </c>
      <c r="M69" s="2">
        <v>43599</v>
      </c>
      <c r="N69">
        <v>299</v>
      </c>
      <c r="O69">
        <v>11</v>
      </c>
      <c r="P69">
        <v>1.95</v>
      </c>
      <c r="Q69" s="1" t="s">
        <v>31</v>
      </c>
      <c r="R69" s="1" t="s">
        <v>32</v>
      </c>
      <c r="S69" s="1" t="s">
        <v>33</v>
      </c>
      <c r="T69" s="1" t="s">
        <v>34</v>
      </c>
      <c r="U69">
        <v>2022</v>
      </c>
      <c r="V69">
        <v>48000</v>
      </c>
    </row>
    <row r="70" spans="1:22" x14ac:dyDescent="0.3">
      <c r="A70" s="1" t="s">
        <v>358</v>
      </c>
      <c r="B70" s="1" t="s">
        <v>359</v>
      </c>
      <c r="C70" s="1" t="s">
        <v>360</v>
      </c>
      <c r="D70" s="1" t="s">
        <v>361</v>
      </c>
      <c r="E70" s="2">
        <v>25654</v>
      </c>
      <c r="F70" s="1" t="s">
        <v>39</v>
      </c>
      <c r="G70">
        <v>6</v>
      </c>
      <c r="H70" s="1"/>
      <c r="J70" s="1" t="s">
        <v>362</v>
      </c>
      <c r="K70" s="1" t="s">
        <v>49</v>
      </c>
      <c r="L70" s="1" t="s">
        <v>86</v>
      </c>
      <c r="M70" s="2">
        <v>44131</v>
      </c>
      <c r="N70">
        <v>319</v>
      </c>
      <c r="O70">
        <v>10</v>
      </c>
      <c r="P70">
        <v>2.25</v>
      </c>
      <c r="Q70" s="1" t="s">
        <v>87</v>
      </c>
      <c r="R70" s="1" t="s">
        <v>88</v>
      </c>
      <c r="S70" s="1" t="s">
        <v>67</v>
      </c>
      <c r="T70" s="1" t="s">
        <v>39</v>
      </c>
      <c r="U70">
        <v>1986</v>
      </c>
      <c r="V70">
        <v>72000</v>
      </c>
    </row>
    <row r="71" spans="1:22" x14ac:dyDescent="0.3">
      <c r="A71" s="1" t="s">
        <v>363</v>
      </c>
      <c r="B71" s="1" t="s">
        <v>364</v>
      </c>
      <c r="C71" s="1" t="s">
        <v>365</v>
      </c>
      <c r="D71" s="1" t="s">
        <v>366</v>
      </c>
      <c r="E71" s="2">
        <v>28778</v>
      </c>
      <c r="F71" s="1" t="s">
        <v>39</v>
      </c>
      <c r="G71">
        <v>3</v>
      </c>
      <c r="H71" s="1"/>
      <c r="J71" s="1" t="s">
        <v>367</v>
      </c>
      <c r="K71" s="1" t="s">
        <v>29</v>
      </c>
      <c r="L71" s="1" t="s">
        <v>64</v>
      </c>
      <c r="M71" s="2">
        <v>43665</v>
      </c>
      <c r="N71">
        <v>315</v>
      </c>
      <c r="O71">
        <v>6</v>
      </c>
      <c r="P71">
        <v>25.99</v>
      </c>
      <c r="Q71" s="1" t="s">
        <v>65</v>
      </c>
      <c r="R71" s="1" t="s">
        <v>66</v>
      </c>
      <c r="S71" s="1" t="s">
        <v>67</v>
      </c>
      <c r="T71" s="1" t="s">
        <v>39</v>
      </c>
      <c r="U71">
        <v>1969</v>
      </c>
      <c r="V71">
        <v>2320000</v>
      </c>
    </row>
    <row r="72" spans="1:22" x14ac:dyDescent="0.3">
      <c r="A72" s="1" t="s">
        <v>363</v>
      </c>
      <c r="B72" s="1" t="s">
        <v>364</v>
      </c>
      <c r="C72" s="1" t="s">
        <v>365</v>
      </c>
      <c r="D72" s="1" t="s">
        <v>366</v>
      </c>
      <c r="E72" s="2">
        <v>28778</v>
      </c>
      <c r="F72" s="1" t="s">
        <v>39</v>
      </c>
      <c r="G72">
        <v>3</v>
      </c>
      <c r="H72" s="1"/>
      <c r="J72" s="1" t="s">
        <v>368</v>
      </c>
      <c r="K72" s="1" t="s">
        <v>41</v>
      </c>
      <c r="L72" s="1" t="s">
        <v>30</v>
      </c>
      <c r="M72" s="2">
        <v>43225</v>
      </c>
      <c r="N72">
        <v>290</v>
      </c>
      <c r="O72">
        <v>14</v>
      </c>
      <c r="P72">
        <v>9.99</v>
      </c>
      <c r="Q72" s="1" t="s">
        <v>31</v>
      </c>
      <c r="R72" s="1" t="s">
        <v>32</v>
      </c>
      <c r="S72" s="1" t="s">
        <v>33</v>
      </c>
      <c r="T72" s="1" t="s">
        <v>34</v>
      </c>
      <c r="U72">
        <v>2022</v>
      </c>
      <c r="V72">
        <v>48000</v>
      </c>
    </row>
    <row r="73" spans="1:22" x14ac:dyDescent="0.3">
      <c r="A73" s="1" t="s">
        <v>369</v>
      </c>
      <c r="B73" s="1" t="s">
        <v>370</v>
      </c>
      <c r="C73" s="1" t="s">
        <v>371</v>
      </c>
      <c r="D73" s="1" t="s">
        <v>372</v>
      </c>
      <c r="E73" s="2">
        <v>28765</v>
      </c>
      <c r="F73" s="1" t="s">
        <v>39</v>
      </c>
      <c r="G73">
        <v>3</v>
      </c>
      <c r="H73" s="1" t="s">
        <v>128</v>
      </c>
      <c r="I73">
        <v>2011</v>
      </c>
      <c r="J73" s="1" t="s">
        <v>373</v>
      </c>
      <c r="K73" s="1" t="s">
        <v>29</v>
      </c>
      <c r="L73" s="1" t="s">
        <v>30</v>
      </c>
      <c r="M73" s="2">
        <v>43503</v>
      </c>
      <c r="N73">
        <v>389</v>
      </c>
      <c r="O73">
        <v>10</v>
      </c>
      <c r="P73">
        <v>27.99</v>
      </c>
      <c r="Q73" s="1" t="s">
        <v>31</v>
      </c>
      <c r="R73" s="1" t="s">
        <v>32</v>
      </c>
      <c r="S73" s="1" t="s">
        <v>33</v>
      </c>
      <c r="T73" s="1" t="s">
        <v>34</v>
      </c>
      <c r="U73">
        <v>2022</v>
      </c>
      <c r="V73">
        <v>48000</v>
      </c>
    </row>
    <row r="74" spans="1:22" x14ac:dyDescent="0.3">
      <c r="A74" s="1" t="s">
        <v>374</v>
      </c>
      <c r="B74" s="1" t="s">
        <v>375</v>
      </c>
      <c r="C74" s="1" t="s">
        <v>371</v>
      </c>
      <c r="D74" s="1" t="s">
        <v>372</v>
      </c>
      <c r="E74" s="2">
        <v>28765</v>
      </c>
      <c r="F74" s="1" t="s">
        <v>39</v>
      </c>
      <c r="G74">
        <v>3</v>
      </c>
      <c r="H74" s="1"/>
      <c r="J74" s="1" t="s">
        <v>376</v>
      </c>
      <c r="K74" s="1" t="s">
        <v>41</v>
      </c>
      <c r="L74" s="1" t="s">
        <v>30</v>
      </c>
      <c r="M74" s="2">
        <v>43951</v>
      </c>
      <c r="N74">
        <v>299</v>
      </c>
      <c r="O74">
        <v>16</v>
      </c>
      <c r="P74">
        <v>0.85</v>
      </c>
      <c r="Q74" s="1" t="s">
        <v>31</v>
      </c>
      <c r="R74" s="1" t="s">
        <v>32</v>
      </c>
      <c r="S74" s="1" t="s">
        <v>33</v>
      </c>
      <c r="T74" s="1" t="s">
        <v>34</v>
      </c>
      <c r="U74">
        <v>2022</v>
      </c>
      <c r="V74">
        <v>48000</v>
      </c>
    </row>
    <row r="75" spans="1:22" x14ac:dyDescent="0.3">
      <c r="A75" s="1" t="s">
        <v>377</v>
      </c>
      <c r="B75" s="1" t="s">
        <v>378</v>
      </c>
      <c r="C75" s="1" t="s">
        <v>379</v>
      </c>
      <c r="D75" s="1" t="s">
        <v>380</v>
      </c>
      <c r="E75" s="2">
        <v>27341</v>
      </c>
      <c r="F75" s="1" t="s">
        <v>46</v>
      </c>
      <c r="G75">
        <v>6</v>
      </c>
      <c r="H75" s="1"/>
      <c r="J75" s="1" t="s">
        <v>381</v>
      </c>
      <c r="K75" s="1" t="s">
        <v>49</v>
      </c>
      <c r="L75" s="1" t="s">
        <v>86</v>
      </c>
      <c r="M75" s="2">
        <v>43907</v>
      </c>
      <c r="N75">
        <v>312</v>
      </c>
      <c r="O75">
        <v>9</v>
      </c>
      <c r="P75">
        <v>22.99</v>
      </c>
      <c r="Q75" s="1" t="s">
        <v>87</v>
      </c>
      <c r="R75" s="1" t="s">
        <v>88</v>
      </c>
      <c r="S75" s="1" t="s">
        <v>67</v>
      </c>
      <c r="T75" s="1" t="s">
        <v>39</v>
      </c>
      <c r="U75">
        <v>1986</v>
      </c>
      <c r="V75">
        <v>72000</v>
      </c>
    </row>
    <row r="76" spans="1:22" x14ac:dyDescent="0.3">
      <c r="A76" s="1" t="s">
        <v>382</v>
      </c>
      <c r="B76" s="1" t="s">
        <v>383</v>
      </c>
      <c r="C76" s="1" t="s">
        <v>384</v>
      </c>
      <c r="D76" s="1" t="s">
        <v>385</v>
      </c>
      <c r="E76" s="2">
        <v>24926</v>
      </c>
      <c r="F76" s="1" t="s">
        <v>39</v>
      </c>
      <c r="G76">
        <v>2</v>
      </c>
      <c r="H76" s="1" t="s">
        <v>386</v>
      </c>
      <c r="I76">
        <v>2017</v>
      </c>
      <c r="J76" s="1" t="s">
        <v>387</v>
      </c>
      <c r="K76" s="1" t="s">
        <v>49</v>
      </c>
      <c r="L76" s="1" t="s">
        <v>64</v>
      </c>
      <c r="M76" s="2">
        <v>43594</v>
      </c>
      <c r="N76">
        <v>390</v>
      </c>
      <c r="O76">
        <v>15</v>
      </c>
      <c r="P76">
        <v>21.99</v>
      </c>
      <c r="Q76" s="1" t="s">
        <v>65</v>
      </c>
      <c r="R76" s="1" t="s">
        <v>66</v>
      </c>
      <c r="S76" s="1" t="s">
        <v>67</v>
      </c>
      <c r="T76" s="1" t="s">
        <v>39</v>
      </c>
      <c r="U76">
        <v>1969</v>
      </c>
      <c r="V76">
        <v>2320000</v>
      </c>
    </row>
    <row r="77" spans="1:22" x14ac:dyDescent="0.3">
      <c r="A77" s="1" t="s">
        <v>382</v>
      </c>
      <c r="B77" s="1" t="s">
        <v>383</v>
      </c>
      <c r="C77" s="1" t="s">
        <v>384</v>
      </c>
      <c r="D77" s="1" t="s">
        <v>385</v>
      </c>
      <c r="E77" s="2">
        <v>24926</v>
      </c>
      <c r="F77" s="1" t="s">
        <v>39</v>
      </c>
      <c r="G77">
        <v>2</v>
      </c>
      <c r="H77" s="1" t="s">
        <v>386</v>
      </c>
      <c r="I77">
        <v>2017</v>
      </c>
      <c r="J77" s="1" t="s">
        <v>388</v>
      </c>
      <c r="K77" s="1" t="s">
        <v>29</v>
      </c>
      <c r="L77" s="1" t="s">
        <v>30</v>
      </c>
      <c r="M77" s="2">
        <v>43152</v>
      </c>
      <c r="N77">
        <v>384</v>
      </c>
      <c r="O77">
        <v>10</v>
      </c>
      <c r="P77">
        <v>29.99</v>
      </c>
      <c r="Q77" s="1" t="s">
        <v>31</v>
      </c>
      <c r="R77" s="1" t="s">
        <v>32</v>
      </c>
      <c r="S77" s="1" t="s">
        <v>33</v>
      </c>
      <c r="T77" s="1" t="s">
        <v>34</v>
      </c>
      <c r="U77">
        <v>2022</v>
      </c>
      <c r="V77">
        <v>48000</v>
      </c>
    </row>
    <row r="78" spans="1:22" x14ac:dyDescent="0.3">
      <c r="A78" s="1" t="s">
        <v>389</v>
      </c>
      <c r="B78" s="1" t="s">
        <v>390</v>
      </c>
      <c r="C78" s="1" t="s">
        <v>391</v>
      </c>
      <c r="D78" s="1" t="s">
        <v>392</v>
      </c>
      <c r="E78" s="2">
        <v>31931</v>
      </c>
      <c r="F78" s="1" t="s">
        <v>39</v>
      </c>
      <c r="G78">
        <v>4</v>
      </c>
      <c r="H78" s="1"/>
      <c r="J78" s="1"/>
      <c r="K78" s="1"/>
      <c r="L78" s="1"/>
      <c r="M78" s="2"/>
      <c r="Q78" s="1"/>
      <c r="R78" s="1"/>
      <c r="S78" s="1"/>
      <c r="T78" s="1"/>
    </row>
    <row r="79" spans="1:22" x14ac:dyDescent="0.3">
      <c r="A79" s="1" t="s">
        <v>393</v>
      </c>
      <c r="B79" s="1" t="s">
        <v>394</v>
      </c>
      <c r="C79" s="1" t="s">
        <v>395</v>
      </c>
      <c r="D79" s="1" t="s">
        <v>396</v>
      </c>
      <c r="E79" s="2">
        <v>32432</v>
      </c>
      <c r="F79" s="1" t="s">
        <v>119</v>
      </c>
      <c r="G79">
        <v>5</v>
      </c>
      <c r="H79" s="1"/>
      <c r="J79" s="1" t="s">
        <v>397</v>
      </c>
      <c r="K79" s="1" t="s">
        <v>49</v>
      </c>
      <c r="L79" s="1" t="s">
        <v>30</v>
      </c>
      <c r="M79" s="2">
        <v>43736</v>
      </c>
      <c r="N79">
        <v>376</v>
      </c>
      <c r="O79">
        <v>9</v>
      </c>
      <c r="P79">
        <v>23.99</v>
      </c>
      <c r="Q79" s="1" t="s">
        <v>31</v>
      </c>
      <c r="R79" s="1" t="s">
        <v>32</v>
      </c>
      <c r="S79" s="1" t="s">
        <v>33</v>
      </c>
      <c r="T79" s="1" t="s">
        <v>34</v>
      </c>
      <c r="U79">
        <v>2022</v>
      </c>
      <c r="V79">
        <v>48000</v>
      </c>
    </row>
    <row r="80" spans="1:22" x14ac:dyDescent="0.3">
      <c r="A80" s="1" t="s">
        <v>398</v>
      </c>
      <c r="B80" s="1" t="s">
        <v>399</v>
      </c>
      <c r="C80" s="1" t="s">
        <v>400</v>
      </c>
      <c r="D80" s="1" t="s">
        <v>401</v>
      </c>
      <c r="E80" s="2">
        <v>28885</v>
      </c>
      <c r="F80" s="1" t="s">
        <v>402</v>
      </c>
      <c r="G80">
        <v>4</v>
      </c>
      <c r="H80" s="1" t="s">
        <v>73</v>
      </c>
      <c r="I80">
        <v>2021</v>
      </c>
      <c r="J80" s="1" t="s">
        <v>403</v>
      </c>
      <c r="K80" s="1" t="s">
        <v>49</v>
      </c>
      <c r="L80" s="1" t="s">
        <v>30</v>
      </c>
      <c r="M80" s="2">
        <v>43080</v>
      </c>
      <c r="N80">
        <v>310</v>
      </c>
      <c r="O80">
        <v>5</v>
      </c>
      <c r="P80">
        <v>19.989999999999998</v>
      </c>
      <c r="Q80" s="1" t="s">
        <v>31</v>
      </c>
      <c r="R80" s="1" t="s">
        <v>32</v>
      </c>
      <c r="S80" s="1" t="s">
        <v>33</v>
      </c>
      <c r="T80" s="1" t="s">
        <v>34</v>
      </c>
      <c r="U80">
        <v>2022</v>
      </c>
      <c r="V80">
        <v>48000</v>
      </c>
    </row>
    <row r="81" spans="1:22" x14ac:dyDescent="0.3">
      <c r="A81" s="1" t="s">
        <v>404</v>
      </c>
      <c r="B81" s="1" t="s">
        <v>405</v>
      </c>
      <c r="C81" s="1" t="s">
        <v>406</v>
      </c>
      <c r="D81" s="1" t="s">
        <v>407</v>
      </c>
      <c r="E81" s="2">
        <v>32517</v>
      </c>
      <c r="F81" s="1" t="s">
        <v>93</v>
      </c>
      <c r="G81">
        <v>4</v>
      </c>
      <c r="H81" s="1"/>
      <c r="J81" s="1" t="s">
        <v>408</v>
      </c>
      <c r="K81" s="1" t="s">
        <v>41</v>
      </c>
      <c r="L81" s="1" t="s">
        <v>86</v>
      </c>
      <c r="M81" s="2">
        <v>42985</v>
      </c>
      <c r="N81">
        <v>288</v>
      </c>
      <c r="O81">
        <v>17</v>
      </c>
      <c r="P81">
        <v>0.95</v>
      </c>
      <c r="Q81" s="1" t="s">
        <v>87</v>
      </c>
      <c r="R81" s="1" t="s">
        <v>88</v>
      </c>
      <c r="S81" s="1" t="s">
        <v>67</v>
      </c>
      <c r="T81" s="1" t="s">
        <v>39</v>
      </c>
      <c r="U81">
        <v>1986</v>
      </c>
      <c r="V81">
        <v>72000</v>
      </c>
    </row>
    <row r="82" spans="1:22" x14ac:dyDescent="0.3">
      <c r="A82" s="1" t="s">
        <v>409</v>
      </c>
      <c r="B82" s="1" t="s">
        <v>410</v>
      </c>
      <c r="C82" s="1" t="s">
        <v>411</v>
      </c>
      <c r="D82" s="1" t="s">
        <v>412</v>
      </c>
      <c r="E82" s="2">
        <v>32940</v>
      </c>
      <c r="F82" s="1" t="s">
        <v>34</v>
      </c>
      <c r="G82">
        <v>4</v>
      </c>
      <c r="H82" s="1"/>
      <c r="J82" s="1" t="s">
        <v>413</v>
      </c>
      <c r="K82" s="1" t="s">
        <v>49</v>
      </c>
      <c r="L82" s="1" t="s">
        <v>30</v>
      </c>
      <c r="M82" s="2">
        <v>42816</v>
      </c>
      <c r="N82">
        <v>312</v>
      </c>
      <c r="O82">
        <v>9</v>
      </c>
      <c r="P82">
        <v>21.99</v>
      </c>
      <c r="Q82" s="1" t="s">
        <v>31</v>
      </c>
      <c r="R82" s="1" t="s">
        <v>32</v>
      </c>
      <c r="S82" s="1" t="s">
        <v>33</v>
      </c>
      <c r="T82" s="1" t="s">
        <v>34</v>
      </c>
      <c r="U82">
        <v>2022</v>
      </c>
      <c r="V82">
        <v>48000</v>
      </c>
    </row>
    <row r="83" spans="1:22" x14ac:dyDescent="0.3">
      <c r="A83" s="1" t="s">
        <v>414</v>
      </c>
      <c r="B83" s="1" t="s">
        <v>415</v>
      </c>
      <c r="C83" s="1" t="s">
        <v>416</v>
      </c>
      <c r="D83" s="1" t="s">
        <v>417</v>
      </c>
      <c r="E83" s="2">
        <v>26255</v>
      </c>
      <c r="F83" s="1" t="s">
        <v>39</v>
      </c>
      <c r="G83">
        <v>3</v>
      </c>
      <c r="H83" s="1" t="s">
        <v>418</v>
      </c>
      <c r="I83">
        <v>2015</v>
      </c>
      <c r="J83" s="1" t="s">
        <v>419</v>
      </c>
      <c r="K83" s="1" t="s">
        <v>29</v>
      </c>
      <c r="L83" s="1" t="s">
        <v>64</v>
      </c>
      <c r="M83" s="2">
        <v>43935</v>
      </c>
      <c r="N83">
        <v>398</v>
      </c>
      <c r="O83">
        <v>7</v>
      </c>
      <c r="P83">
        <v>2.85</v>
      </c>
      <c r="Q83" s="1" t="s">
        <v>65</v>
      </c>
      <c r="R83" s="1" t="s">
        <v>66</v>
      </c>
      <c r="S83" s="1" t="s">
        <v>67</v>
      </c>
      <c r="T83" s="1" t="s">
        <v>39</v>
      </c>
      <c r="U83">
        <v>1969</v>
      </c>
      <c r="V83">
        <v>2320000</v>
      </c>
    </row>
    <row r="84" spans="1:22" x14ac:dyDescent="0.3">
      <c r="A84" s="1" t="s">
        <v>420</v>
      </c>
      <c r="B84" s="1" t="s">
        <v>421</v>
      </c>
      <c r="C84" s="1" t="s">
        <v>422</v>
      </c>
      <c r="D84" s="1" t="s">
        <v>423</v>
      </c>
      <c r="E84" s="2">
        <v>23930</v>
      </c>
      <c r="F84" s="1" t="s">
        <v>154</v>
      </c>
      <c r="G84">
        <v>2</v>
      </c>
      <c r="H84" s="1" t="s">
        <v>424</v>
      </c>
      <c r="I84">
        <v>2019</v>
      </c>
      <c r="J84" s="1" t="s">
        <v>425</v>
      </c>
      <c r="K84" s="1" t="s">
        <v>49</v>
      </c>
      <c r="L84" s="1" t="s">
        <v>86</v>
      </c>
      <c r="M84" s="2">
        <v>43628</v>
      </c>
      <c r="N84">
        <v>312</v>
      </c>
      <c r="O84">
        <v>7</v>
      </c>
      <c r="P84">
        <v>1.95</v>
      </c>
      <c r="Q84" s="1" t="s">
        <v>87</v>
      </c>
      <c r="R84" s="1" t="s">
        <v>88</v>
      </c>
      <c r="S84" s="1" t="s">
        <v>67</v>
      </c>
      <c r="T84" s="1" t="s">
        <v>39</v>
      </c>
      <c r="U84">
        <v>1986</v>
      </c>
      <c r="V84">
        <v>72000</v>
      </c>
    </row>
    <row r="85" spans="1:22" x14ac:dyDescent="0.3">
      <c r="A85" s="1" t="s">
        <v>426</v>
      </c>
      <c r="B85" s="1" t="s">
        <v>427</v>
      </c>
      <c r="C85" s="1" t="s">
        <v>428</v>
      </c>
      <c r="D85" s="1" t="s">
        <v>429</v>
      </c>
      <c r="E85" s="2">
        <v>24144</v>
      </c>
      <c r="F85" s="1" t="s">
        <v>34</v>
      </c>
      <c r="G85">
        <v>5</v>
      </c>
      <c r="H85" s="1"/>
      <c r="J85" s="1" t="s">
        <v>430</v>
      </c>
      <c r="K85" s="1" t="s">
        <v>29</v>
      </c>
      <c r="L85" s="1" t="s">
        <v>64</v>
      </c>
      <c r="M85" s="2">
        <v>43695</v>
      </c>
      <c r="N85">
        <v>355</v>
      </c>
      <c r="O85">
        <v>5</v>
      </c>
      <c r="P85">
        <v>27.99</v>
      </c>
      <c r="Q85" s="1" t="s">
        <v>65</v>
      </c>
      <c r="R85" s="1" t="s">
        <v>66</v>
      </c>
      <c r="S85" s="1" t="s">
        <v>67</v>
      </c>
      <c r="T85" s="1" t="s">
        <v>39</v>
      </c>
      <c r="U85">
        <v>1969</v>
      </c>
      <c r="V85">
        <v>2320000</v>
      </c>
    </row>
    <row r="86" spans="1:22" x14ac:dyDescent="0.3">
      <c r="A86" s="1" t="s">
        <v>431</v>
      </c>
      <c r="B86" s="1" t="s">
        <v>432</v>
      </c>
      <c r="C86" s="1" t="s">
        <v>433</v>
      </c>
      <c r="D86" s="1" t="s">
        <v>434</v>
      </c>
      <c r="E86" s="2">
        <v>27983</v>
      </c>
      <c r="F86" s="1" t="s">
        <v>39</v>
      </c>
      <c r="G86">
        <v>3</v>
      </c>
      <c r="H86" s="1"/>
      <c r="J86" s="1" t="s">
        <v>435</v>
      </c>
      <c r="K86" s="1" t="s">
        <v>41</v>
      </c>
      <c r="L86" s="1" t="s">
        <v>64</v>
      </c>
      <c r="M86" s="2">
        <v>43483</v>
      </c>
      <c r="N86">
        <v>290</v>
      </c>
      <c r="O86">
        <v>20</v>
      </c>
      <c r="P86">
        <v>8.99</v>
      </c>
      <c r="Q86" s="1" t="s">
        <v>65</v>
      </c>
      <c r="R86" s="1" t="s">
        <v>66</v>
      </c>
      <c r="S86" s="1" t="s">
        <v>67</v>
      </c>
      <c r="T86" s="1" t="s">
        <v>39</v>
      </c>
      <c r="U86">
        <v>1969</v>
      </c>
      <c r="V86">
        <v>2320000</v>
      </c>
    </row>
    <row r="87" spans="1:22" x14ac:dyDescent="0.3">
      <c r="A87" s="1" t="s">
        <v>436</v>
      </c>
      <c r="B87" s="1" t="s">
        <v>437</v>
      </c>
      <c r="C87" s="1" t="s">
        <v>438</v>
      </c>
      <c r="D87" s="1" t="s">
        <v>439</v>
      </c>
      <c r="E87" s="2">
        <v>24594</v>
      </c>
      <c r="F87" s="1" t="s">
        <v>39</v>
      </c>
      <c r="G87">
        <v>2</v>
      </c>
      <c r="H87" s="1"/>
      <c r="J87" s="1" t="s">
        <v>440</v>
      </c>
      <c r="K87" s="1" t="s">
        <v>29</v>
      </c>
      <c r="L87" s="1" t="s">
        <v>64</v>
      </c>
      <c r="M87" s="2">
        <v>43146</v>
      </c>
      <c r="N87">
        <v>388</v>
      </c>
      <c r="O87">
        <v>10</v>
      </c>
      <c r="P87">
        <v>27.99</v>
      </c>
      <c r="Q87" s="1" t="s">
        <v>65</v>
      </c>
      <c r="R87" s="1" t="s">
        <v>66</v>
      </c>
      <c r="S87" s="1" t="s">
        <v>67</v>
      </c>
      <c r="T87" s="1" t="s">
        <v>39</v>
      </c>
      <c r="U87">
        <v>1969</v>
      </c>
      <c r="V87">
        <v>2320000</v>
      </c>
    </row>
    <row r="88" spans="1:22" x14ac:dyDescent="0.3">
      <c r="A88" s="1" t="s">
        <v>441</v>
      </c>
      <c r="B88" s="1" t="s">
        <v>442</v>
      </c>
      <c r="C88" s="1" t="s">
        <v>443</v>
      </c>
      <c r="D88" s="1" t="s">
        <v>444</v>
      </c>
      <c r="E88" s="2">
        <v>33478</v>
      </c>
      <c r="F88" s="1" t="s">
        <v>39</v>
      </c>
      <c r="G88">
        <v>4</v>
      </c>
      <c r="H88" s="1" t="s">
        <v>84</v>
      </c>
      <c r="I88">
        <v>2017</v>
      </c>
      <c r="J88" s="1" t="s">
        <v>445</v>
      </c>
      <c r="K88" s="1" t="s">
        <v>41</v>
      </c>
      <c r="L88" s="1" t="s">
        <v>64</v>
      </c>
      <c r="M88" s="2">
        <v>44129</v>
      </c>
      <c r="N88">
        <v>258</v>
      </c>
      <c r="O88">
        <v>20</v>
      </c>
      <c r="P88">
        <v>9.99</v>
      </c>
      <c r="Q88" s="1" t="s">
        <v>65</v>
      </c>
      <c r="R88" s="1" t="s">
        <v>66</v>
      </c>
      <c r="S88" s="1" t="s">
        <v>67</v>
      </c>
      <c r="T88" s="1" t="s">
        <v>39</v>
      </c>
      <c r="U88">
        <v>1969</v>
      </c>
      <c r="V88">
        <v>2320000</v>
      </c>
    </row>
    <row r="89" spans="1:22" x14ac:dyDescent="0.3">
      <c r="A89" s="1" t="s">
        <v>446</v>
      </c>
      <c r="B89" s="1" t="s">
        <v>447</v>
      </c>
      <c r="C89" s="1" t="s">
        <v>448</v>
      </c>
      <c r="D89" s="1" t="s">
        <v>449</v>
      </c>
      <c r="E89" s="2">
        <v>33207</v>
      </c>
      <c r="F89" s="1" t="s">
        <v>119</v>
      </c>
      <c r="G89">
        <v>5</v>
      </c>
      <c r="H89" s="1"/>
      <c r="J89" s="1" t="s">
        <v>450</v>
      </c>
      <c r="K89" s="1" t="s">
        <v>49</v>
      </c>
      <c r="L89" s="1" t="s">
        <v>64</v>
      </c>
      <c r="M89" s="2">
        <v>42954</v>
      </c>
      <c r="N89">
        <v>299</v>
      </c>
      <c r="O89">
        <v>12</v>
      </c>
      <c r="P89">
        <v>20.99</v>
      </c>
      <c r="Q89" s="1" t="s">
        <v>65</v>
      </c>
      <c r="R89" s="1" t="s">
        <v>66</v>
      </c>
      <c r="S89" s="1" t="s">
        <v>67</v>
      </c>
      <c r="T89" s="1" t="s">
        <v>39</v>
      </c>
      <c r="U89">
        <v>1969</v>
      </c>
      <c r="V89">
        <v>2320000</v>
      </c>
    </row>
    <row r="90" spans="1:22" x14ac:dyDescent="0.3">
      <c r="A90" s="1" t="s">
        <v>451</v>
      </c>
      <c r="B90" s="1" t="s">
        <v>452</v>
      </c>
      <c r="C90" s="1" t="s">
        <v>453</v>
      </c>
      <c r="D90" s="1" t="s">
        <v>454</v>
      </c>
      <c r="E90" s="2">
        <v>33612</v>
      </c>
      <c r="F90" s="1" t="s">
        <v>26</v>
      </c>
      <c r="G90">
        <v>3</v>
      </c>
      <c r="H90" s="1" t="s">
        <v>424</v>
      </c>
      <c r="I90">
        <v>2014</v>
      </c>
      <c r="J90" s="1" t="s">
        <v>455</v>
      </c>
      <c r="K90" s="1" t="s">
        <v>29</v>
      </c>
      <c r="L90" s="1" t="s">
        <v>64</v>
      </c>
      <c r="M90" s="2">
        <v>43469</v>
      </c>
      <c r="N90">
        <v>287</v>
      </c>
      <c r="O90">
        <v>7</v>
      </c>
      <c r="P90">
        <v>26.99</v>
      </c>
      <c r="Q90" s="1" t="s">
        <v>65</v>
      </c>
      <c r="R90" s="1" t="s">
        <v>66</v>
      </c>
      <c r="S90" s="1" t="s">
        <v>67</v>
      </c>
      <c r="T90" s="1" t="s">
        <v>39</v>
      </c>
      <c r="U90">
        <v>1969</v>
      </c>
      <c r="V90">
        <v>2320000</v>
      </c>
    </row>
    <row r="91" spans="1:22" x14ac:dyDescent="0.3">
      <c r="A91" s="1" t="s">
        <v>456</v>
      </c>
      <c r="B91" s="1" t="s">
        <v>457</v>
      </c>
      <c r="C91" s="1" t="s">
        <v>453</v>
      </c>
      <c r="D91" s="1" t="s">
        <v>454</v>
      </c>
      <c r="E91" s="2">
        <v>33612</v>
      </c>
      <c r="F91" s="1" t="s">
        <v>26</v>
      </c>
      <c r="G91">
        <v>3</v>
      </c>
      <c r="H91" s="1"/>
      <c r="J91" s="1" t="s">
        <v>458</v>
      </c>
      <c r="K91" s="1" t="s">
        <v>49</v>
      </c>
      <c r="L91" s="1" t="s">
        <v>30</v>
      </c>
      <c r="M91" s="2">
        <v>43490</v>
      </c>
      <c r="N91">
        <v>345</v>
      </c>
      <c r="O91">
        <v>9</v>
      </c>
      <c r="P91">
        <v>23.99</v>
      </c>
      <c r="Q91" s="1" t="s">
        <v>31</v>
      </c>
      <c r="R91" s="1" t="s">
        <v>32</v>
      </c>
      <c r="S91" s="1" t="s">
        <v>33</v>
      </c>
      <c r="T91" s="1" t="s">
        <v>34</v>
      </c>
      <c r="U91">
        <v>2022</v>
      </c>
      <c r="V91">
        <v>48000</v>
      </c>
    </row>
    <row r="92" spans="1:22" x14ac:dyDescent="0.3">
      <c r="A92" s="1" t="s">
        <v>456</v>
      </c>
      <c r="B92" s="1" t="s">
        <v>457</v>
      </c>
      <c r="C92" s="1" t="s">
        <v>453</v>
      </c>
      <c r="D92" s="1" t="s">
        <v>454</v>
      </c>
      <c r="E92" s="2">
        <v>33612</v>
      </c>
      <c r="F92" s="1" t="s">
        <v>26</v>
      </c>
      <c r="G92">
        <v>3</v>
      </c>
      <c r="H92" s="1"/>
      <c r="J92" s="1" t="s">
        <v>459</v>
      </c>
      <c r="K92" s="1" t="s">
        <v>29</v>
      </c>
      <c r="L92" s="1" t="s">
        <v>64</v>
      </c>
      <c r="M92" s="2">
        <v>43052</v>
      </c>
      <c r="N92">
        <v>370</v>
      </c>
      <c r="O92">
        <v>5</v>
      </c>
      <c r="P92">
        <v>27.99</v>
      </c>
      <c r="Q92" s="1" t="s">
        <v>65</v>
      </c>
      <c r="R92" s="1" t="s">
        <v>66</v>
      </c>
      <c r="S92" s="1" t="s">
        <v>67</v>
      </c>
      <c r="T92" s="1" t="s">
        <v>39</v>
      </c>
      <c r="U92">
        <v>1969</v>
      </c>
      <c r="V92">
        <v>2320000</v>
      </c>
    </row>
    <row r="93" spans="1:22" x14ac:dyDescent="0.3">
      <c r="A93" s="1" t="s">
        <v>460</v>
      </c>
      <c r="B93" s="1" t="s">
        <v>461</v>
      </c>
      <c r="C93" s="1" t="s">
        <v>462</v>
      </c>
      <c r="D93" s="1" t="s">
        <v>463</v>
      </c>
      <c r="E93" s="2">
        <v>30885</v>
      </c>
      <c r="F93" s="1" t="s">
        <v>46</v>
      </c>
      <c r="G93">
        <v>5</v>
      </c>
      <c r="H93" s="1"/>
      <c r="J93" s="1" t="s">
        <v>464</v>
      </c>
      <c r="K93" s="1" t="s">
        <v>29</v>
      </c>
      <c r="L93" s="1" t="s">
        <v>64</v>
      </c>
      <c r="M93" s="2">
        <v>43599</v>
      </c>
      <c r="N93">
        <v>325</v>
      </c>
      <c r="O93">
        <v>6</v>
      </c>
      <c r="P93">
        <v>2.5499999999999998</v>
      </c>
      <c r="Q93" s="1" t="s">
        <v>65</v>
      </c>
      <c r="R93" s="1" t="s">
        <v>66</v>
      </c>
      <c r="S93" s="1" t="s">
        <v>67</v>
      </c>
      <c r="T93" s="1" t="s">
        <v>39</v>
      </c>
      <c r="U93">
        <v>1969</v>
      </c>
      <c r="V93">
        <v>2320000</v>
      </c>
    </row>
    <row r="94" spans="1:22" x14ac:dyDescent="0.3">
      <c r="A94" s="1" t="s">
        <v>465</v>
      </c>
      <c r="B94" s="1" t="s">
        <v>466</v>
      </c>
      <c r="C94" s="1" t="s">
        <v>467</v>
      </c>
      <c r="D94" s="1" t="s">
        <v>468</v>
      </c>
      <c r="E94" s="2">
        <v>32891</v>
      </c>
      <c r="F94" s="1" t="s">
        <v>34</v>
      </c>
      <c r="G94">
        <v>4</v>
      </c>
      <c r="H94" s="1"/>
      <c r="J94" s="1" t="s">
        <v>469</v>
      </c>
      <c r="K94" s="1" t="s">
        <v>29</v>
      </c>
      <c r="L94" s="1" t="s">
        <v>64</v>
      </c>
      <c r="M94" s="2">
        <v>43692</v>
      </c>
      <c r="N94">
        <v>355</v>
      </c>
      <c r="O94">
        <v>6</v>
      </c>
      <c r="P94">
        <v>27.99</v>
      </c>
      <c r="Q94" s="1" t="s">
        <v>65</v>
      </c>
      <c r="R94" s="1" t="s">
        <v>66</v>
      </c>
      <c r="S94" s="1" t="s">
        <v>67</v>
      </c>
      <c r="T94" s="1" t="s">
        <v>39</v>
      </c>
      <c r="U94">
        <v>1969</v>
      </c>
      <c r="V94">
        <v>2320000</v>
      </c>
    </row>
    <row r="95" spans="1:22" x14ac:dyDescent="0.3">
      <c r="A95" s="1" t="s">
        <v>470</v>
      </c>
      <c r="B95" s="1" t="s">
        <v>471</v>
      </c>
      <c r="C95" s="1" t="s">
        <v>472</v>
      </c>
      <c r="D95" s="1" t="s">
        <v>473</v>
      </c>
      <c r="E95" s="2">
        <v>33344</v>
      </c>
      <c r="F95" s="1" t="s">
        <v>39</v>
      </c>
      <c r="G95">
        <v>5</v>
      </c>
      <c r="H95" s="1"/>
      <c r="J95" s="1" t="s">
        <v>474</v>
      </c>
      <c r="K95" s="1" t="s">
        <v>29</v>
      </c>
      <c r="L95" s="1" t="s">
        <v>30</v>
      </c>
      <c r="M95" s="2">
        <v>43157</v>
      </c>
      <c r="N95">
        <v>372</v>
      </c>
      <c r="O95">
        <v>9</v>
      </c>
      <c r="P95">
        <v>28.99</v>
      </c>
      <c r="Q95" s="1" t="s">
        <v>31</v>
      </c>
      <c r="R95" s="1" t="s">
        <v>32</v>
      </c>
      <c r="S95" s="1" t="s">
        <v>33</v>
      </c>
      <c r="T95" s="1" t="s">
        <v>34</v>
      </c>
      <c r="U95">
        <v>2022</v>
      </c>
      <c r="V95">
        <v>48000</v>
      </c>
    </row>
    <row r="96" spans="1:22" x14ac:dyDescent="0.3">
      <c r="A96" s="1" t="s">
        <v>475</v>
      </c>
      <c r="B96" s="1" t="s">
        <v>476</v>
      </c>
      <c r="C96" s="1" t="s">
        <v>477</v>
      </c>
      <c r="D96" s="1" t="s">
        <v>478</v>
      </c>
      <c r="E96" s="2">
        <v>30797</v>
      </c>
      <c r="F96" s="1" t="s">
        <v>39</v>
      </c>
      <c r="G96">
        <v>4</v>
      </c>
      <c r="H96" s="1"/>
      <c r="J96" s="1" t="s">
        <v>479</v>
      </c>
      <c r="K96" s="1" t="s">
        <v>49</v>
      </c>
      <c r="L96" s="1" t="s">
        <v>30</v>
      </c>
      <c r="M96" s="2">
        <v>43294</v>
      </c>
      <c r="N96">
        <v>334</v>
      </c>
      <c r="O96">
        <v>9</v>
      </c>
      <c r="P96">
        <v>2.35</v>
      </c>
      <c r="Q96" s="1" t="s">
        <v>31</v>
      </c>
      <c r="R96" s="1" t="s">
        <v>32</v>
      </c>
      <c r="S96" s="1" t="s">
        <v>33</v>
      </c>
      <c r="T96" s="1" t="s">
        <v>34</v>
      </c>
      <c r="U96">
        <v>2022</v>
      </c>
      <c r="V96">
        <v>48000</v>
      </c>
    </row>
    <row r="97" spans="1:22" x14ac:dyDescent="0.3">
      <c r="A97" s="1" t="s">
        <v>480</v>
      </c>
      <c r="B97" s="1" t="s">
        <v>481</v>
      </c>
      <c r="C97" s="1" t="s">
        <v>482</v>
      </c>
      <c r="D97" s="1" t="s">
        <v>483</v>
      </c>
      <c r="E97" s="2">
        <v>32855</v>
      </c>
      <c r="F97" s="1" t="s">
        <v>39</v>
      </c>
      <c r="G97">
        <v>6</v>
      </c>
      <c r="H97" s="1"/>
      <c r="J97" s="1" t="s">
        <v>484</v>
      </c>
      <c r="K97" s="1" t="s">
        <v>41</v>
      </c>
      <c r="L97" s="1" t="s">
        <v>30</v>
      </c>
      <c r="M97" s="2">
        <v>43475</v>
      </c>
      <c r="N97">
        <v>275</v>
      </c>
      <c r="O97">
        <v>18</v>
      </c>
      <c r="P97">
        <v>8.99</v>
      </c>
      <c r="Q97" s="1" t="s">
        <v>31</v>
      </c>
      <c r="R97" s="1" t="s">
        <v>32</v>
      </c>
      <c r="S97" s="1" t="s">
        <v>33</v>
      </c>
      <c r="T97" s="1" t="s">
        <v>34</v>
      </c>
      <c r="U97">
        <v>2022</v>
      </c>
      <c r="V97">
        <v>48000</v>
      </c>
    </row>
    <row r="98" spans="1:22" x14ac:dyDescent="0.3">
      <c r="A98" s="1" t="s">
        <v>485</v>
      </c>
      <c r="B98" s="1" t="s">
        <v>486</v>
      </c>
      <c r="C98" s="1" t="s">
        <v>487</v>
      </c>
      <c r="D98" s="1" t="s">
        <v>488</v>
      </c>
      <c r="E98" s="2">
        <v>32924</v>
      </c>
      <c r="F98" s="1" t="s">
        <v>489</v>
      </c>
      <c r="G98">
        <v>5</v>
      </c>
      <c r="H98" s="1" t="s">
        <v>490</v>
      </c>
      <c r="I98">
        <v>2022</v>
      </c>
      <c r="J98" s="1" t="s">
        <v>491</v>
      </c>
      <c r="K98" s="1" t="s">
        <v>29</v>
      </c>
      <c r="L98" s="1" t="s">
        <v>30</v>
      </c>
      <c r="M98" s="2">
        <v>43189</v>
      </c>
      <c r="N98">
        <v>289</v>
      </c>
      <c r="O98">
        <v>6</v>
      </c>
      <c r="P98">
        <v>24.99</v>
      </c>
      <c r="Q98" s="1" t="s">
        <v>31</v>
      </c>
      <c r="R98" s="1" t="s">
        <v>32</v>
      </c>
      <c r="S98" s="1" t="s">
        <v>33</v>
      </c>
      <c r="T98" s="1" t="s">
        <v>34</v>
      </c>
      <c r="U98">
        <v>2022</v>
      </c>
      <c r="V98">
        <v>48000</v>
      </c>
    </row>
    <row r="99" spans="1:22" x14ac:dyDescent="0.3">
      <c r="A99" s="1" t="s">
        <v>492</v>
      </c>
      <c r="B99" s="1" t="s">
        <v>493</v>
      </c>
      <c r="C99" s="1" t="s">
        <v>494</v>
      </c>
      <c r="D99" s="1" t="s">
        <v>495</v>
      </c>
      <c r="E99" s="2">
        <v>28159</v>
      </c>
      <c r="F99" s="1" t="s">
        <v>197</v>
      </c>
      <c r="G99">
        <v>5</v>
      </c>
      <c r="H99" s="1" t="s">
        <v>73</v>
      </c>
      <c r="I99">
        <v>2012</v>
      </c>
      <c r="J99" s="1" t="s">
        <v>496</v>
      </c>
      <c r="K99" s="1" t="s">
        <v>49</v>
      </c>
      <c r="L99" s="1" t="s">
        <v>30</v>
      </c>
      <c r="M99" s="2">
        <v>43329</v>
      </c>
      <c r="N99">
        <v>366</v>
      </c>
      <c r="O99">
        <v>13</v>
      </c>
      <c r="P99">
        <v>2.35</v>
      </c>
      <c r="Q99" s="1" t="s">
        <v>31</v>
      </c>
      <c r="R99" s="1" t="s">
        <v>32</v>
      </c>
      <c r="S99" s="1" t="s">
        <v>33</v>
      </c>
      <c r="T99" s="1" t="s">
        <v>34</v>
      </c>
      <c r="U99">
        <v>2022</v>
      </c>
      <c r="V99">
        <v>48000</v>
      </c>
    </row>
  </sheetData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ECFD0-1316-4584-A1D3-C893B72E337D}">
  <dimension ref="A1"/>
  <sheetViews>
    <sheetView tabSelected="1" topLeftCell="A4" workbookViewId="0">
      <selection activeCell="L7" sqref="L7"/>
    </sheetView>
  </sheetViews>
  <sheetFormatPr baseColWidth="10" defaultRowHeight="14.4" x14ac:dyDescent="0.3"/>
  <sheetData/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59C86-30AA-4A1D-A47A-6E670BCE6345}">
  <dimension ref="A1:M96"/>
  <sheetViews>
    <sheetView workbookViewId="0">
      <selection activeCell="O6" sqref="O6"/>
    </sheetView>
  </sheetViews>
  <sheetFormatPr baseColWidth="10" defaultRowHeight="14.4" x14ac:dyDescent="0.3"/>
  <cols>
    <col min="1" max="1" width="16.77734375" bestFit="1" customWidth="1"/>
    <col min="2" max="2" width="9.109375" bestFit="1" customWidth="1"/>
    <col min="3" max="3" width="9.6640625" bestFit="1" customWidth="1"/>
    <col min="4" max="4" width="8.21875" bestFit="1" customWidth="1"/>
    <col min="5" max="5" width="17" bestFit="1" customWidth="1"/>
    <col min="6" max="6" width="17.21875" bestFit="1" customWidth="1"/>
    <col min="7" max="7" width="7.5546875" bestFit="1" customWidth="1"/>
    <col min="8" max="8" width="17.109375" bestFit="1" customWidth="1"/>
    <col min="9" max="9" width="14.33203125" bestFit="1" customWidth="1"/>
    <col min="10" max="10" width="24.88671875" bestFit="1" customWidth="1"/>
    <col min="11" max="11" width="11" bestFit="1" customWidth="1"/>
    <col min="12" max="12" width="15.88671875" bestFit="1" customWidth="1"/>
    <col min="13" max="13" width="20.33203125" bestFit="1" customWidth="1"/>
  </cols>
  <sheetData>
    <row r="1" spans="1:13" x14ac:dyDescent="0.3">
      <c r="A1" s="3" t="s">
        <v>497</v>
      </c>
      <c r="B1" s="3" t="s">
        <v>498</v>
      </c>
      <c r="C1" s="3" t="s">
        <v>499</v>
      </c>
      <c r="D1" s="3" t="s">
        <v>500</v>
      </c>
      <c r="E1" s="3" t="s">
        <v>501</v>
      </c>
      <c r="F1" s="3" t="s">
        <v>502</v>
      </c>
      <c r="G1" s="3" t="s">
        <v>503</v>
      </c>
      <c r="H1" s="3" t="s">
        <v>504</v>
      </c>
      <c r="I1" s="5" t="s">
        <v>505</v>
      </c>
      <c r="J1" s="6" t="s">
        <v>506</v>
      </c>
      <c r="K1" s="6" t="s">
        <v>509</v>
      </c>
      <c r="L1" s="6" t="s">
        <v>510</v>
      </c>
      <c r="M1" s="6" t="s">
        <v>520</v>
      </c>
    </row>
    <row r="2" spans="1:13" x14ac:dyDescent="0.3">
      <c r="A2" s="1" t="s">
        <v>28</v>
      </c>
      <c r="B2" s="1" t="s">
        <v>22</v>
      </c>
      <c r="C2" s="1" t="s">
        <v>30</v>
      </c>
      <c r="D2" s="1" t="s">
        <v>29</v>
      </c>
      <c r="E2" s="2">
        <v>43757</v>
      </c>
      <c r="F2">
        <v>350</v>
      </c>
      <c r="G2">
        <v>10</v>
      </c>
      <c r="H2">
        <v>2.75</v>
      </c>
      <c r="I2" s="4">
        <v>48000</v>
      </c>
      <c r="J2" t="str">
        <f>_xlfn.XLOOKUP(Tabelle_Book_Edition[[#This Row],[book_id]],Award!A:A,Award!B:B,"",0)</f>
        <v>Hugo Award</v>
      </c>
      <c r="K2" t="str">
        <f>_xlfn.XLOOKUP(Tabelle_Book_Edition[[#This Row],[book_id]],Book!A:A,Book!C:C,"",0)</f>
        <v>AC221</v>
      </c>
      <c r="L2" t="str">
        <f>_xlfn.XLOOKUP(Tabelle_Book_Edition[[#This Row],[author_id]],Author!A:A,Author!B:B,"",0)</f>
        <v>Alex Carter</v>
      </c>
      <c r="M2" s="1" t="str">
        <f>_xlfn.XLOOKUP(Tabelle_Book_Edition[[#This Row],[pub_id]],Publisher!A:A,Publisher!B:B,"",0)</f>
        <v>Palimpsest Printing</v>
      </c>
    </row>
    <row r="3" spans="1:13" x14ac:dyDescent="0.3">
      <c r="A3" s="1" t="s">
        <v>40</v>
      </c>
      <c r="B3" s="1" t="s">
        <v>35</v>
      </c>
      <c r="C3" s="1" t="s">
        <v>30</v>
      </c>
      <c r="D3" s="1" t="s">
        <v>41</v>
      </c>
      <c r="E3" s="2">
        <v>43774</v>
      </c>
      <c r="F3">
        <v>276</v>
      </c>
      <c r="G3">
        <v>18</v>
      </c>
      <c r="H3">
        <v>8.99</v>
      </c>
      <c r="I3" s="4">
        <v>48000</v>
      </c>
      <c r="J3" t="str">
        <f>_xlfn.XLOOKUP(Tabelle_Book_Edition[[#This Row],[book_id]],Award!A:A,Award!B:B,"",0)</f>
        <v/>
      </c>
      <c r="K3" t="str">
        <f>_xlfn.XLOOKUP(Tabelle_Book_Edition[[#This Row],[book_id]],Book!A:A,Book!C:C,"",0)</f>
        <v>AD210</v>
      </c>
      <c r="L3" t="str">
        <f>_xlfn.XLOOKUP(Tabelle_Book_Edition[[#This Row],[author_id]],Author!A:A,Author!B:B,"",0)</f>
        <v>Andrew Daniels</v>
      </c>
      <c r="M3" s="1" t="str">
        <f>_xlfn.XLOOKUP(Tabelle_Book_Edition[[#This Row],[pub_id]],Publisher!A:A,Publisher!B:B,"",0)</f>
        <v>Palimpsest Printing</v>
      </c>
    </row>
    <row r="4" spans="1:13" x14ac:dyDescent="0.3">
      <c r="A4" s="1" t="s">
        <v>48</v>
      </c>
      <c r="B4" s="1" t="s">
        <v>42</v>
      </c>
      <c r="C4" s="1" t="s">
        <v>30</v>
      </c>
      <c r="D4" s="1" t="s">
        <v>49</v>
      </c>
      <c r="E4" s="2">
        <v>43919</v>
      </c>
      <c r="F4">
        <v>312</v>
      </c>
      <c r="G4">
        <v>9</v>
      </c>
      <c r="H4">
        <v>21.99</v>
      </c>
      <c r="I4" s="4">
        <v>48000</v>
      </c>
      <c r="J4" t="str">
        <f>_xlfn.XLOOKUP(Tabelle_Book_Edition[[#This Row],[book_id]],Award!A:A,Award!B:B,"",0)</f>
        <v>World Fantasy Award</v>
      </c>
      <c r="K4" t="str">
        <f>_xlfn.XLOOKUP(Tabelle_Book_Edition[[#This Row],[book_id]],Book!A:A,Book!C:C,"",0)</f>
        <v>AI232</v>
      </c>
      <c r="L4" t="str">
        <f>_xlfn.XLOOKUP(Tabelle_Book_Edition[[#This Row],[author_id]],Author!A:A,Author!B:B,"",0)</f>
        <v>Akira Ishikawa</v>
      </c>
      <c r="M4" s="1" t="str">
        <f>_xlfn.XLOOKUP(Tabelle_Book_Edition[[#This Row],[pub_id]],Publisher!A:A,Publisher!B:B,"",0)</f>
        <v>Palimpsest Printing</v>
      </c>
    </row>
    <row r="5" spans="1:13" x14ac:dyDescent="0.3">
      <c r="A5" s="1" t="s">
        <v>52</v>
      </c>
      <c r="B5" s="1" t="s">
        <v>50</v>
      </c>
      <c r="C5" s="1" t="s">
        <v>30</v>
      </c>
      <c r="D5" s="1" t="s">
        <v>49</v>
      </c>
      <c r="E5" s="2">
        <v>44102</v>
      </c>
      <c r="F5">
        <v>342</v>
      </c>
      <c r="G5">
        <v>8</v>
      </c>
      <c r="H5">
        <v>2.15</v>
      </c>
      <c r="I5" s="4">
        <v>48000</v>
      </c>
      <c r="J5" t="str">
        <f>_xlfn.XLOOKUP(Tabelle_Book_Edition[[#This Row],[book_id]],Award!A:A,Award!B:B,"",0)</f>
        <v/>
      </c>
      <c r="K5" t="str">
        <f>_xlfn.XLOOKUP(Tabelle_Book_Edition[[#This Row],[book_id]],Book!A:A,Book!C:C,"",0)</f>
        <v>AI232</v>
      </c>
      <c r="L5" t="str">
        <f>_xlfn.XLOOKUP(Tabelle_Book_Edition[[#This Row],[author_id]],Author!A:A,Author!B:B,"",0)</f>
        <v>Akira Ishikawa</v>
      </c>
      <c r="M5" s="1" t="str">
        <f>_xlfn.XLOOKUP(Tabelle_Book_Edition[[#This Row],[pub_id]],Publisher!A:A,Publisher!B:B,"",0)</f>
        <v>Palimpsest Printing</v>
      </c>
    </row>
    <row r="6" spans="1:13" x14ac:dyDescent="0.3">
      <c r="A6" s="1" t="s">
        <v>58</v>
      </c>
      <c r="B6" s="1" t="s">
        <v>53</v>
      </c>
      <c r="C6" s="1" t="s">
        <v>30</v>
      </c>
      <c r="D6" s="1" t="s">
        <v>29</v>
      </c>
      <c r="E6" s="2">
        <v>43270</v>
      </c>
      <c r="F6">
        <v>362</v>
      </c>
      <c r="G6">
        <v>7</v>
      </c>
      <c r="H6">
        <v>28.99</v>
      </c>
      <c r="I6" s="4">
        <v>48000</v>
      </c>
      <c r="J6" t="str">
        <f>_xlfn.XLOOKUP(Tabelle_Book_Edition[[#This Row],[book_id]],Award!A:A,Award!B:B,"",0)</f>
        <v/>
      </c>
      <c r="K6" t="str">
        <f>_xlfn.XLOOKUP(Tabelle_Book_Edition[[#This Row],[book_id]],Book!A:A,Book!C:C,"",0)</f>
        <v>AL303</v>
      </c>
      <c r="L6" t="str">
        <f>_xlfn.XLOOKUP(Tabelle_Book_Edition[[#This Row],[author_id]],Author!A:A,Author!B:B,"",0)</f>
        <v>Alejandro Lopez</v>
      </c>
      <c r="M6" s="1" t="str">
        <f>_xlfn.XLOOKUP(Tabelle_Book_Edition[[#This Row],[pub_id]],Publisher!A:A,Publisher!B:B,"",0)</f>
        <v>Palimpsest Printing</v>
      </c>
    </row>
    <row r="7" spans="1:13" x14ac:dyDescent="0.3">
      <c r="A7" s="1" t="s">
        <v>63</v>
      </c>
      <c r="B7" s="1" t="s">
        <v>59</v>
      </c>
      <c r="C7" s="1" t="s">
        <v>64</v>
      </c>
      <c r="D7" s="1" t="s">
        <v>49</v>
      </c>
      <c r="E7" s="2">
        <v>43668</v>
      </c>
      <c r="F7">
        <v>320</v>
      </c>
      <c r="G7">
        <v>8</v>
      </c>
      <c r="H7">
        <v>19.989999999999998</v>
      </c>
      <c r="I7" s="4">
        <v>2320000</v>
      </c>
      <c r="J7" t="str">
        <f>_xlfn.XLOOKUP(Tabelle_Book_Edition[[#This Row],[book_id]],Award!A:A,Award!B:B,"",0)</f>
        <v>World Fantasy Award</v>
      </c>
      <c r="K7" t="str">
        <f>_xlfn.XLOOKUP(Tabelle_Book_Edition[[#This Row],[book_id]],Book!A:A,Book!C:C,"",0)</f>
        <v>AM329</v>
      </c>
      <c r="L7" t="str">
        <f>_xlfn.XLOOKUP(Tabelle_Book_Edition[[#This Row],[author_id]],Author!A:A,Author!B:B,"",0)</f>
        <v>Arthur Morgan</v>
      </c>
      <c r="M7" s="1" t="str">
        <f>_xlfn.XLOOKUP(Tabelle_Book_Edition[[#This Row],[pub_id]],Publisher!A:A,Publisher!B:B,"",0)</f>
        <v>Etaoin Shrdlu Press</v>
      </c>
    </row>
    <row r="8" spans="1:13" x14ac:dyDescent="0.3">
      <c r="A8" s="1" t="s">
        <v>68</v>
      </c>
      <c r="B8" s="1" t="s">
        <v>59</v>
      </c>
      <c r="C8" s="1" t="s">
        <v>30</v>
      </c>
      <c r="D8" s="1" t="s">
        <v>29</v>
      </c>
      <c r="E8" s="2">
        <v>43174</v>
      </c>
      <c r="F8">
        <v>312</v>
      </c>
      <c r="G8">
        <v>5</v>
      </c>
      <c r="H8">
        <v>24.99</v>
      </c>
      <c r="I8" s="4">
        <v>48000</v>
      </c>
      <c r="J8" t="str">
        <f>_xlfn.XLOOKUP(Tabelle_Book_Edition[[#This Row],[book_id]],Award!A:A,Award!B:B,"",0)</f>
        <v>World Fantasy Award</v>
      </c>
      <c r="K8" t="str">
        <f>_xlfn.XLOOKUP(Tabelle_Book_Edition[[#This Row],[book_id]],Book!A:A,Book!C:C,"",0)</f>
        <v>AM329</v>
      </c>
      <c r="L8" t="str">
        <f>_xlfn.XLOOKUP(Tabelle_Book_Edition[[#This Row],[author_id]],Author!A:A,Author!B:B,"",0)</f>
        <v>Arthur Morgan</v>
      </c>
      <c r="M8" s="1" t="str">
        <f>_xlfn.XLOOKUP(Tabelle_Book_Edition[[#This Row],[pub_id]],Publisher!A:A,Publisher!B:B,"",0)</f>
        <v>Palimpsest Printing</v>
      </c>
    </row>
    <row r="9" spans="1:13" x14ac:dyDescent="0.3">
      <c r="A9" s="1" t="s">
        <v>74</v>
      </c>
      <c r="B9" s="1" t="s">
        <v>69</v>
      </c>
      <c r="C9" s="1" t="s">
        <v>64</v>
      </c>
      <c r="D9" s="1" t="s">
        <v>29</v>
      </c>
      <c r="E9" s="2">
        <v>43560</v>
      </c>
      <c r="F9">
        <v>300</v>
      </c>
      <c r="G9">
        <v>6</v>
      </c>
      <c r="H9">
        <v>27.99</v>
      </c>
      <c r="I9" s="4">
        <v>2320000</v>
      </c>
      <c r="J9" t="str">
        <f>_xlfn.XLOOKUP(Tabelle_Book_Edition[[#This Row],[book_id]],Award!A:A,Award!B:B,"",0)</f>
        <v>National Book Award</v>
      </c>
      <c r="K9" t="str">
        <f>_xlfn.XLOOKUP(Tabelle_Book_Edition[[#This Row],[book_id]],Book!A:A,Book!C:C,"",0)</f>
        <v>AS443</v>
      </c>
      <c r="L9" t="str">
        <f>_xlfn.XLOOKUP(Tabelle_Book_Edition[[#This Row],[author_id]],Author!A:A,Author!B:B,"",0)</f>
        <v>Alison Smith</v>
      </c>
      <c r="M9" s="1" t="str">
        <f>_xlfn.XLOOKUP(Tabelle_Book_Edition[[#This Row],[pub_id]],Publisher!A:A,Publisher!B:B,"",0)</f>
        <v>Etaoin Shrdlu Press</v>
      </c>
    </row>
    <row r="10" spans="1:13" x14ac:dyDescent="0.3">
      <c r="A10" s="1" t="s">
        <v>75</v>
      </c>
      <c r="B10" s="1" t="s">
        <v>69</v>
      </c>
      <c r="C10" s="1" t="s">
        <v>30</v>
      </c>
      <c r="D10" s="1" t="s">
        <v>41</v>
      </c>
      <c r="E10" s="2">
        <v>43840</v>
      </c>
      <c r="F10">
        <v>289</v>
      </c>
      <c r="G10">
        <v>12</v>
      </c>
      <c r="H10">
        <v>9.99</v>
      </c>
      <c r="I10" s="4">
        <v>48000</v>
      </c>
      <c r="J10" t="str">
        <f>_xlfn.XLOOKUP(Tabelle_Book_Edition[[#This Row],[book_id]],Award!A:A,Award!B:B,"",0)</f>
        <v>National Book Award</v>
      </c>
      <c r="K10" t="str">
        <f>_xlfn.XLOOKUP(Tabelle_Book_Edition[[#This Row],[book_id]],Book!A:A,Book!C:C,"",0)</f>
        <v>AS443</v>
      </c>
      <c r="L10" t="str">
        <f>_xlfn.XLOOKUP(Tabelle_Book_Edition[[#This Row],[author_id]],Author!A:A,Author!B:B,"",0)</f>
        <v>Alison Smith</v>
      </c>
      <c r="M10" s="1" t="str">
        <f>_xlfn.XLOOKUP(Tabelle_Book_Edition[[#This Row],[pub_id]],Publisher!A:A,Publisher!B:B,"",0)</f>
        <v>Palimpsest Printing</v>
      </c>
    </row>
    <row r="11" spans="1:13" x14ac:dyDescent="0.3">
      <c r="A11" s="1" t="s">
        <v>85</v>
      </c>
      <c r="B11" s="1" t="s">
        <v>80</v>
      </c>
      <c r="C11" s="1" t="s">
        <v>86</v>
      </c>
      <c r="D11" s="1" t="s">
        <v>49</v>
      </c>
      <c r="E11" s="2">
        <v>43057</v>
      </c>
      <c r="F11">
        <v>250</v>
      </c>
      <c r="G11">
        <v>4</v>
      </c>
      <c r="H11">
        <v>1.85</v>
      </c>
      <c r="I11" s="4">
        <v>72000</v>
      </c>
      <c r="J11" t="str">
        <f>_xlfn.XLOOKUP(Tabelle_Book_Edition[[#This Row],[book_id]],Award!A:A,Award!B:B,"",0)</f>
        <v>Caldecott Medal</v>
      </c>
      <c r="K11" t="str">
        <f>_xlfn.XLOOKUP(Tabelle_Book_Edition[[#This Row],[book_id]],Book!A:A,Book!C:C,"",0)</f>
        <v>BH149</v>
      </c>
      <c r="L11" t="str">
        <f>_xlfn.XLOOKUP(Tabelle_Book_Edition[[#This Row],[author_id]],Author!A:A,Author!B:B,"",0)</f>
        <v>Beth Harper</v>
      </c>
      <c r="M11" s="1" t="str">
        <f>_xlfn.XLOOKUP(Tabelle_Book_Edition[[#This Row],[pub_id]],Publisher!A:A,Publisher!B:B,"",0)</f>
        <v>Cedar House Publishers</v>
      </c>
    </row>
    <row r="12" spans="1:13" x14ac:dyDescent="0.3">
      <c r="A12" s="1" t="s">
        <v>94</v>
      </c>
      <c r="B12" s="1" t="s">
        <v>89</v>
      </c>
      <c r="C12" s="1" t="s">
        <v>30</v>
      </c>
      <c r="D12" s="1" t="s">
        <v>29</v>
      </c>
      <c r="E12" s="2">
        <v>44043</v>
      </c>
      <c r="F12">
        <v>390</v>
      </c>
      <c r="G12">
        <v>7</v>
      </c>
      <c r="H12">
        <v>2.95</v>
      </c>
      <c r="I12" s="4">
        <v>48000</v>
      </c>
      <c r="J12" t="str">
        <f>_xlfn.XLOOKUP(Tabelle_Book_Edition[[#This Row],[book_id]],Award!A:A,Award!B:B,"",0)</f>
        <v/>
      </c>
      <c r="K12" t="str">
        <f>_xlfn.XLOOKUP(Tabelle_Book_Edition[[#This Row],[book_id]],Book!A:A,Book!C:C,"",0)</f>
        <v>BT987</v>
      </c>
      <c r="L12" t="str">
        <f>_xlfn.XLOOKUP(Tabelle_Book_Edition[[#This Row],[author_id]],Author!A:A,Author!B:B,"",0)</f>
        <v>Ben Thompson</v>
      </c>
      <c r="M12" s="1" t="str">
        <f>_xlfn.XLOOKUP(Tabelle_Book_Edition[[#This Row],[pub_id]],Publisher!A:A,Publisher!B:B,"",0)</f>
        <v>Palimpsest Printing</v>
      </c>
    </row>
    <row r="13" spans="1:13" x14ac:dyDescent="0.3">
      <c r="A13" s="1" t="s">
        <v>99</v>
      </c>
      <c r="B13" s="1" t="s">
        <v>95</v>
      </c>
      <c r="C13" s="1" t="s">
        <v>30</v>
      </c>
      <c r="D13" s="1" t="s">
        <v>49</v>
      </c>
      <c r="E13" s="2">
        <v>43802</v>
      </c>
      <c r="F13">
        <v>355</v>
      </c>
      <c r="G13">
        <v>11</v>
      </c>
      <c r="H13">
        <v>22.99</v>
      </c>
      <c r="I13" s="4">
        <v>48000</v>
      </c>
      <c r="J13" t="str">
        <f>_xlfn.XLOOKUP(Tabelle_Book_Edition[[#This Row],[book_id]],Award!A:A,Award!B:B,"",0)</f>
        <v/>
      </c>
      <c r="K13" t="str">
        <f>_xlfn.XLOOKUP(Tabelle_Book_Edition[[#This Row],[book_id]],Book!A:A,Book!C:C,"",0)</f>
        <v>CA421</v>
      </c>
      <c r="L13" t="str">
        <f>_xlfn.XLOOKUP(Tabelle_Book_Edition[[#This Row],[author_id]],Author!A:A,Author!B:B,"",0)</f>
        <v>Chloe Anderson</v>
      </c>
      <c r="M13" s="1" t="str">
        <f>_xlfn.XLOOKUP(Tabelle_Book_Edition[[#This Row],[pub_id]],Publisher!A:A,Publisher!B:B,"",0)</f>
        <v>Palimpsest Printing</v>
      </c>
    </row>
    <row r="14" spans="1:13" x14ac:dyDescent="0.3">
      <c r="A14" s="1" t="s">
        <v>104</v>
      </c>
      <c r="B14" s="1" t="s">
        <v>100</v>
      </c>
      <c r="C14" s="1" t="s">
        <v>86</v>
      </c>
      <c r="D14" s="1" t="s">
        <v>41</v>
      </c>
      <c r="E14" s="2">
        <v>43490</v>
      </c>
      <c r="F14">
        <v>275</v>
      </c>
      <c r="G14">
        <v>14</v>
      </c>
      <c r="H14">
        <v>7.99</v>
      </c>
      <c r="I14" s="4">
        <v>72000</v>
      </c>
      <c r="J14" t="str">
        <f>_xlfn.XLOOKUP(Tabelle_Book_Edition[[#This Row],[book_id]],Award!A:A,Award!B:B,"",0)</f>
        <v>National Book Award</v>
      </c>
      <c r="K14" t="str">
        <f>_xlfn.XLOOKUP(Tabelle_Book_Edition[[#This Row],[book_id]],Book!A:A,Book!C:C,"",0)</f>
        <v>CK310</v>
      </c>
      <c r="L14" t="str">
        <f>_xlfn.XLOOKUP(Tabelle_Book_Edition[[#This Row],[author_id]],Author!A:A,Author!B:B,"",0)</f>
        <v>Caleb King</v>
      </c>
      <c r="M14" s="1" t="str">
        <f>_xlfn.XLOOKUP(Tabelle_Book_Edition[[#This Row],[pub_id]],Publisher!A:A,Publisher!B:B,"",0)</f>
        <v>Cedar House Publishers</v>
      </c>
    </row>
    <row r="15" spans="1:13" x14ac:dyDescent="0.3">
      <c r="A15" s="1" t="s">
        <v>109</v>
      </c>
      <c r="B15" s="1" t="s">
        <v>105</v>
      </c>
      <c r="C15" s="1" t="s">
        <v>64</v>
      </c>
      <c r="D15" s="1" t="s">
        <v>29</v>
      </c>
      <c r="E15" s="2">
        <v>43096</v>
      </c>
      <c r="F15">
        <v>310</v>
      </c>
      <c r="G15">
        <v>5</v>
      </c>
      <c r="H15">
        <v>2.65</v>
      </c>
      <c r="I15" s="4">
        <v>2320000</v>
      </c>
      <c r="J15" t="str">
        <f>_xlfn.XLOOKUP(Tabelle_Book_Edition[[#This Row],[book_id]],Award!A:A,Award!B:B,"",0)</f>
        <v/>
      </c>
      <c r="K15" t="str">
        <f>_xlfn.XLOOKUP(Tabelle_Book_Edition[[#This Row],[book_id]],Book!A:A,Book!C:C,"",0)</f>
        <v>CL432</v>
      </c>
      <c r="L15" t="str">
        <f>_xlfn.XLOOKUP(Tabelle_Book_Edition[[#This Row],[author_id]],Author!A:A,Author!B:B,"",0)</f>
        <v>Charlie Lee</v>
      </c>
      <c r="M15" s="1" t="str">
        <f>_xlfn.XLOOKUP(Tabelle_Book_Edition[[#This Row],[pub_id]],Publisher!A:A,Publisher!B:B,"",0)</f>
        <v>Etaoin Shrdlu Press</v>
      </c>
    </row>
    <row r="16" spans="1:13" x14ac:dyDescent="0.3">
      <c r="A16" s="1" t="s">
        <v>114</v>
      </c>
      <c r="B16" s="1" t="s">
        <v>110</v>
      </c>
      <c r="C16" s="1" t="s">
        <v>64</v>
      </c>
      <c r="D16" s="1" t="s">
        <v>41</v>
      </c>
      <c r="E16" s="2">
        <v>44167</v>
      </c>
      <c r="F16">
        <v>310</v>
      </c>
      <c r="G16">
        <v>15</v>
      </c>
      <c r="H16">
        <v>8.99</v>
      </c>
      <c r="I16" s="4">
        <v>2320000</v>
      </c>
      <c r="J16" t="str">
        <f>_xlfn.XLOOKUP(Tabelle_Book_Edition[[#This Row],[book_id]],Award!A:A,Award!B:B,"",0)</f>
        <v/>
      </c>
      <c r="K16" t="str">
        <f>_xlfn.XLOOKUP(Tabelle_Book_Edition[[#This Row],[book_id]],Book!A:A,Book!C:C,"",0)</f>
        <v>CM555</v>
      </c>
      <c r="L16" t="str">
        <f>_xlfn.XLOOKUP(Tabelle_Book_Edition[[#This Row],[author_id]],Author!A:A,Author!B:B,"",0)</f>
        <v>Cameron Moore</v>
      </c>
      <c r="M16" s="1" t="str">
        <f>_xlfn.XLOOKUP(Tabelle_Book_Edition[[#This Row],[pub_id]],Publisher!A:A,Publisher!B:B,"",0)</f>
        <v>Etaoin Shrdlu Press</v>
      </c>
    </row>
    <row r="17" spans="1:13" x14ac:dyDescent="0.3">
      <c r="A17" s="1" t="s">
        <v>120</v>
      </c>
      <c r="B17" s="1" t="s">
        <v>115</v>
      </c>
      <c r="C17" s="1" t="s">
        <v>64</v>
      </c>
      <c r="D17" s="1" t="s">
        <v>41</v>
      </c>
      <c r="E17" s="2">
        <v>43928</v>
      </c>
      <c r="F17">
        <v>280</v>
      </c>
      <c r="G17">
        <v>18</v>
      </c>
      <c r="H17">
        <v>0.85</v>
      </c>
      <c r="I17" s="4">
        <v>2320000</v>
      </c>
      <c r="J17" t="str">
        <f>_xlfn.XLOOKUP(Tabelle_Book_Edition[[#This Row],[book_id]],Award!A:A,Award!B:B,"",0)</f>
        <v/>
      </c>
      <c r="K17" t="str">
        <f>_xlfn.XLOOKUP(Tabelle_Book_Edition[[#This Row],[book_id]],Book!A:A,Book!C:C,"",0)</f>
        <v>CM919</v>
      </c>
      <c r="L17" t="str">
        <f>_xlfn.XLOOKUP(Tabelle_Book_Edition[[#This Row],[author_id]],Author!A:A,Author!B:B,"",0)</f>
        <v>Carmen Mendoza</v>
      </c>
      <c r="M17" s="1" t="str">
        <f>_xlfn.XLOOKUP(Tabelle_Book_Edition[[#This Row],[pub_id]],Publisher!A:A,Publisher!B:B,"",0)</f>
        <v>Etaoin Shrdlu Press</v>
      </c>
    </row>
    <row r="18" spans="1:13" x14ac:dyDescent="0.3">
      <c r="A18" s="1" t="s">
        <v>123</v>
      </c>
      <c r="B18" s="1" t="s">
        <v>121</v>
      </c>
      <c r="C18" s="1" t="s">
        <v>64</v>
      </c>
      <c r="D18" s="1" t="s">
        <v>49</v>
      </c>
      <c r="E18" s="2">
        <v>43680</v>
      </c>
      <c r="F18">
        <v>318</v>
      </c>
      <c r="G18">
        <v>10</v>
      </c>
      <c r="H18">
        <v>2.25</v>
      </c>
      <c r="I18" s="4">
        <v>2320000</v>
      </c>
      <c r="J18" t="str">
        <f>_xlfn.XLOOKUP(Tabelle_Book_Edition[[#This Row],[book_id]],Award!A:A,Award!B:B,"",0)</f>
        <v/>
      </c>
      <c r="K18" t="str">
        <f>_xlfn.XLOOKUP(Tabelle_Book_Edition[[#This Row],[book_id]],Book!A:A,Book!C:C,"",0)</f>
        <v>CM919</v>
      </c>
      <c r="L18" t="str">
        <f>_xlfn.XLOOKUP(Tabelle_Book_Edition[[#This Row],[author_id]],Author!A:A,Author!B:B,"",0)</f>
        <v>Carmen Mendoza</v>
      </c>
      <c r="M18" s="1" t="str">
        <f>_xlfn.XLOOKUP(Tabelle_Book_Edition[[#This Row],[pub_id]],Publisher!A:A,Publisher!B:B,"",0)</f>
        <v>Etaoin Shrdlu Press</v>
      </c>
    </row>
    <row r="19" spans="1:13" x14ac:dyDescent="0.3">
      <c r="A19" s="1" t="s">
        <v>129</v>
      </c>
      <c r="B19" s="1" t="s">
        <v>124</v>
      </c>
      <c r="C19" s="1" t="s">
        <v>30</v>
      </c>
      <c r="D19" s="1" t="s">
        <v>41</v>
      </c>
      <c r="E19" s="2">
        <v>44083</v>
      </c>
      <c r="F19">
        <v>266</v>
      </c>
      <c r="G19">
        <v>15</v>
      </c>
      <c r="H19">
        <v>9.99</v>
      </c>
      <c r="I19" s="4">
        <v>48000</v>
      </c>
      <c r="J19" t="str">
        <f>_xlfn.XLOOKUP(Tabelle_Book_Edition[[#This Row],[book_id]],Award!A:A,Award!B:B,"",0)</f>
        <v>Pulitzer</v>
      </c>
      <c r="K19" t="str">
        <f>_xlfn.XLOOKUP(Tabelle_Book_Edition[[#This Row],[book_id]],Book!A:A,Book!C:C,"",0)</f>
        <v>CP598</v>
      </c>
      <c r="L19" t="str">
        <f>_xlfn.XLOOKUP(Tabelle_Book_Edition[[#This Row],[author_id]],Author!A:A,Author!B:B,"",0)</f>
        <v>Carl Parker</v>
      </c>
      <c r="M19" s="1" t="str">
        <f>_xlfn.XLOOKUP(Tabelle_Book_Edition[[#This Row],[pub_id]],Publisher!A:A,Publisher!B:B,"",0)</f>
        <v>Palimpsest Printing</v>
      </c>
    </row>
    <row r="20" spans="1:13" x14ac:dyDescent="0.3">
      <c r="A20" s="1" t="s">
        <v>134</v>
      </c>
      <c r="B20" s="1" t="s">
        <v>130</v>
      </c>
      <c r="C20" s="1" t="s">
        <v>30</v>
      </c>
      <c r="D20" s="1" t="s">
        <v>29</v>
      </c>
      <c r="E20" s="2">
        <v>42934</v>
      </c>
      <c r="F20">
        <v>333</v>
      </c>
      <c r="G20">
        <v>6</v>
      </c>
      <c r="H20">
        <v>25.99</v>
      </c>
      <c r="I20" s="4">
        <v>48000</v>
      </c>
      <c r="J20" t="str">
        <f>_xlfn.XLOOKUP(Tabelle_Book_Edition[[#This Row],[book_id]],Award!A:A,Award!B:B,"",0)</f>
        <v>Hugo Award</v>
      </c>
      <c r="K20" t="str">
        <f>_xlfn.XLOOKUP(Tabelle_Book_Edition[[#This Row],[book_id]],Book!A:A,Book!C:C,"",0)</f>
        <v>DG431</v>
      </c>
      <c r="L20" t="str">
        <f>_xlfn.XLOOKUP(Tabelle_Book_Edition[[#This Row],[author_id]],Author!A:A,Author!B:B,"",0)</f>
        <v>David Grant</v>
      </c>
      <c r="M20" s="1" t="str">
        <f>_xlfn.XLOOKUP(Tabelle_Book_Edition[[#This Row],[pub_id]],Publisher!A:A,Publisher!B:B,"",0)</f>
        <v>Palimpsest Printing</v>
      </c>
    </row>
    <row r="21" spans="1:13" x14ac:dyDescent="0.3">
      <c r="A21" s="1" t="s">
        <v>139</v>
      </c>
      <c r="B21" s="1" t="s">
        <v>135</v>
      </c>
      <c r="C21" s="1" t="s">
        <v>86</v>
      </c>
      <c r="D21" s="1" t="s">
        <v>29</v>
      </c>
      <c r="E21" s="2">
        <v>43105</v>
      </c>
      <c r="F21">
        <v>344</v>
      </c>
      <c r="G21">
        <v>5</v>
      </c>
      <c r="H21">
        <v>2.65</v>
      </c>
      <c r="I21" s="4">
        <v>72000</v>
      </c>
      <c r="J21" t="str">
        <f>_xlfn.XLOOKUP(Tabelle_Book_Edition[[#This Row],[book_id]],Award!A:A,Award!B:B,"",0)</f>
        <v>Hugo Award</v>
      </c>
      <c r="K21" t="str">
        <f>_xlfn.XLOOKUP(Tabelle_Book_Edition[[#This Row],[book_id]],Book!A:A,Book!C:C,"",0)</f>
        <v>DG768</v>
      </c>
      <c r="L21" t="str">
        <f>_xlfn.XLOOKUP(Tabelle_Book_Edition[[#This Row],[author_id]],Author!A:A,Author!B:B,"",0)</f>
        <v>Derek Gordon</v>
      </c>
      <c r="M21" s="1" t="str">
        <f>_xlfn.XLOOKUP(Tabelle_Book_Edition[[#This Row],[pub_id]],Publisher!A:A,Publisher!B:B,"",0)</f>
        <v>Cedar House Publishers</v>
      </c>
    </row>
    <row r="22" spans="1:13" x14ac:dyDescent="0.3">
      <c r="A22" s="1" t="s">
        <v>144</v>
      </c>
      <c r="B22" s="1" t="s">
        <v>140</v>
      </c>
      <c r="C22" s="1" t="s">
        <v>30</v>
      </c>
      <c r="D22" s="1" t="s">
        <v>41</v>
      </c>
      <c r="E22" s="2">
        <v>43257</v>
      </c>
      <c r="F22">
        <v>290</v>
      </c>
      <c r="G22">
        <v>17</v>
      </c>
      <c r="H22">
        <v>8.99</v>
      </c>
      <c r="I22" s="4">
        <v>48000</v>
      </c>
      <c r="J22" t="str">
        <f>_xlfn.XLOOKUP(Tabelle_Book_Edition[[#This Row],[book_id]],Award!A:A,Award!B:B,"",0)</f>
        <v/>
      </c>
      <c r="K22" t="str">
        <f>_xlfn.XLOOKUP(Tabelle_Book_Edition[[#This Row],[book_id]],Book!A:A,Book!C:C,"",0)</f>
        <v>DH333</v>
      </c>
      <c r="L22" t="str">
        <f>_xlfn.XLOOKUP(Tabelle_Book_Edition[[#This Row],[author_id]],Author!A:A,Author!B:B,"",0)</f>
        <v>Danny Hill</v>
      </c>
      <c r="M22" s="1" t="str">
        <f>_xlfn.XLOOKUP(Tabelle_Book_Edition[[#This Row],[pub_id]],Publisher!A:A,Publisher!B:B,"",0)</f>
        <v>Palimpsest Printing</v>
      </c>
    </row>
    <row r="23" spans="1:13" x14ac:dyDescent="0.3">
      <c r="A23" s="1" t="s">
        <v>149</v>
      </c>
      <c r="B23" s="1" t="s">
        <v>145</v>
      </c>
      <c r="C23" s="1" t="s">
        <v>150</v>
      </c>
      <c r="D23" s="1" t="s">
        <v>41</v>
      </c>
      <c r="E23" s="2">
        <v>44039</v>
      </c>
      <c r="F23">
        <v>289</v>
      </c>
      <c r="G23">
        <v>14</v>
      </c>
      <c r="H23">
        <v>9.99</v>
      </c>
      <c r="I23" s="4">
        <v>151000</v>
      </c>
      <c r="J23" t="str">
        <f>_xlfn.XLOOKUP(Tabelle_Book_Edition[[#This Row],[book_id]],Award!A:A,Award!B:B,"",0)</f>
        <v/>
      </c>
      <c r="K23" t="str">
        <f>_xlfn.XLOOKUP(Tabelle_Book_Edition[[#This Row],[book_id]],Book!A:A,Book!C:C,"",0)</f>
        <v>DM201</v>
      </c>
      <c r="L23" t="str">
        <f>_xlfn.XLOOKUP(Tabelle_Book_Edition[[#This Row],[author_id]],Author!A:A,Author!B:B,"",0)</f>
        <v>Diana Morales</v>
      </c>
      <c r="M23" s="1" t="str">
        <f>_xlfn.XLOOKUP(Tabelle_Book_Edition[[#This Row],[pub_id]],Publisher!A:A,Publisher!B:B,"",0)</f>
        <v>Sound &amp; Seas Co.</v>
      </c>
    </row>
    <row r="24" spans="1:13" x14ac:dyDescent="0.3">
      <c r="A24" s="1" t="s">
        <v>159</v>
      </c>
      <c r="B24" s="1" t="s">
        <v>155</v>
      </c>
      <c r="C24" s="1" t="s">
        <v>64</v>
      </c>
      <c r="D24" s="1" t="s">
        <v>49</v>
      </c>
      <c r="E24" s="2">
        <v>43453</v>
      </c>
      <c r="F24">
        <v>278</v>
      </c>
      <c r="G24">
        <v>11</v>
      </c>
      <c r="H24">
        <v>19.989999999999998</v>
      </c>
      <c r="I24" s="4">
        <v>2320000</v>
      </c>
      <c r="J24" t="str">
        <f>_xlfn.XLOOKUP(Tabelle_Book_Edition[[#This Row],[book_id]],Award!A:A,Award!B:B,"",0)</f>
        <v>Caldecott Medal</v>
      </c>
      <c r="K24" t="str">
        <f>_xlfn.XLOOKUP(Tabelle_Book_Edition[[#This Row],[book_id]],Book!A:A,Book!C:C,"",0)</f>
        <v>DM540</v>
      </c>
      <c r="L24" t="str">
        <f>_xlfn.XLOOKUP(Tabelle_Book_Edition[[#This Row],[author_id]],Author!A:A,Author!B:B,"",0)</f>
        <v>Daniel Morales</v>
      </c>
      <c r="M24" s="1" t="str">
        <f>_xlfn.XLOOKUP(Tabelle_Book_Edition[[#This Row],[pub_id]],Publisher!A:A,Publisher!B:B,"",0)</f>
        <v>Etaoin Shrdlu Press</v>
      </c>
    </row>
    <row r="25" spans="1:13" x14ac:dyDescent="0.3">
      <c r="A25" s="1" t="s">
        <v>163</v>
      </c>
      <c r="B25" s="1" t="s">
        <v>160</v>
      </c>
      <c r="C25" s="1" t="s">
        <v>30</v>
      </c>
      <c r="D25" s="1" t="s">
        <v>41</v>
      </c>
      <c r="E25" s="2">
        <v>44148</v>
      </c>
      <c r="F25">
        <v>295</v>
      </c>
      <c r="G25">
        <v>14</v>
      </c>
      <c r="H25">
        <v>0.85</v>
      </c>
      <c r="I25" s="4">
        <v>48000</v>
      </c>
      <c r="J25" t="str">
        <f>_xlfn.XLOOKUP(Tabelle_Book_Edition[[#This Row],[book_id]],Award!A:A,Award!B:B,"",0)</f>
        <v>Young Reader's Choice Award</v>
      </c>
      <c r="K25" t="str">
        <f>_xlfn.XLOOKUP(Tabelle_Book_Edition[[#This Row],[book_id]],Book!A:A,Book!C:C,"",0)</f>
        <v>DM540</v>
      </c>
      <c r="L25" t="str">
        <f>_xlfn.XLOOKUP(Tabelle_Book_Edition[[#This Row],[author_id]],Author!A:A,Author!B:B,"",0)</f>
        <v>Daniel Morales</v>
      </c>
      <c r="M25" s="1" t="str">
        <f>_xlfn.XLOOKUP(Tabelle_Book_Edition[[#This Row],[pub_id]],Publisher!A:A,Publisher!B:B,"",0)</f>
        <v>Palimpsest Printing</v>
      </c>
    </row>
    <row r="26" spans="1:13" x14ac:dyDescent="0.3">
      <c r="A26" s="1" t="s">
        <v>168</v>
      </c>
      <c r="B26" s="1" t="s">
        <v>164</v>
      </c>
      <c r="C26" s="1" t="s">
        <v>64</v>
      </c>
      <c r="D26" s="1" t="s">
        <v>29</v>
      </c>
      <c r="E26" s="2">
        <v>43184</v>
      </c>
      <c r="F26">
        <v>320</v>
      </c>
      <c r="G26">
        <v>5</v>
      </c>
      <c r="H26">
        <v>24.99</v>
      </c>
      <c r="I26" s="4">
        <v>2320000</v>
      </c>
      <c r="J26" t="str">
        <f>_xlfn.XLOOKUP(Tabelle_Book_Edition[[#This Row],[book_id]],Award!A:A,Award!B:B,"",0)</f>
        <v/>
      </c>
      <c r="K26" t="str">
        <f>_xlfn.XLOOKUP(Tabelle_Book_Edition[[#This Row],[book_id]],Book!A:A,Book!C:C,"",0)</f>
        <v>DR777</v>
      </c>
      <c r="L26" t="str">
        <f>_xlfn.XLOOKUP(Tabelle_Book_Edition[[#This Row],[author_id]],Author!A:A,Author!B:B,"",0)</f>
        <v>Drake Graham</v>
      </c>
      <c r="M26" s="1" t="str">
        <f>_xlfn.XLOOKUP(Tabelle_Book_Edition[[#This Row],[pub_id]],Publisher!A:A,Publisher!B:B,"",0)</f>
        <v>Etaoin Shrdlu Press</v>
      </c>
    </row>
    <row r="27" spans="1:13" x14ac:dyDescent="0.3">
      <c r="A27" s="1" t="s">
        <v>173</v>
      </c>
      <c r="B27" s="1" t="s">
        <v>169</v>
      </c>
      <c r="C27" s="1" t="s">
        <v>30</v>
      </c>
      <c r="D27" s="1" t="s">
        <v>29</v>
      </c>
      <c r="E27" s="2">
        <v>44005</v>
      </c>
      <c r="F27">
        <v>403</v>
      </c>
      <c r="G27">
        <v>8</v>
      </c>
      <c r="H27">
        <v>29.99</v>
      </c>
      <c r="I27" s="4">
        <v>48000</v>
      </c>
      <c r="J27" t="str">
        <f>_xlfn.XLOOKUP(Tabelle_Book_Edition[[#This Row],[book_id]],Award!A:A,Award!B:B,"",0)</f>
        <v>Pulitzer</v>
      </c>
      <c r="K27" t="str">
        <f>_xlfn.XLOOKUP(Tabelle_Book_Edition[[#This Row],[book_id]],Book!A:A,Book!C:C,"",0)</f>
        <v>ED600</v>
      </c>
      <c r="L27" t="str">
        <f>_xlfn.XLOOKUP(Tabelle_Book_Edition[[#This Row],[author_id]],Author!A:A,Author!B:B,"",0)</f>
        <v>Edward Davis</v>
      </c>
      <c r="M27" s="1" t="str">
        <f>_xlfn.XLOOKUP(Tabelle_Book_Edition[[#This Row],[pub_id]],Publisher!A:A,Publisher!B:B,"",0)</f>
        <v>Palimpsest Printing</v>
      </c>
    </row>
    <row r="28" spans="1:13" x14ac:dyDescent="0.3">
      <c r="A28" s="1" t="s">
        <v>178</v>
      </c>
      <c r="B28" s="1" t="s">
        <v>174</v>
      </c>
      <c r="C28" s="1" t="s">
        <v>64</v>
      </c>
      <c r="D28" s="1" t="s">
        <v>49</v>
      </c>
      <c r="E28" s="2">
        <v>43594</v>
      </c>
      <c r="F28">
        <v>348</v>
      </c>
      <c r="G28">
        <v>11</v>
      </c>
      <c r="H28">
        <v>2.25</v>
      </c>
      <c r="I28" s="4">
        <v>2320000</v>
      </c>
      <c r="J28" t="str">
        <f>_xlfn.XLOOKUP(Tabelle_Book_Edition[[#This Row],[book_id]],Award!A:A,Award!B:B,"",0)</f>
        <v/>
      </c>
      <c r="K28" t="str">
        <f>_xlfn.XLOOKUP(Tabelle_Book_Edition[[#This Row],[book_id]],Book!A:A,Book!C:C,"",0)</f>
        <v>EL123</v>
      </c>
      <c r="L28" t="str">
        <f>_xlfn.XLOOKUP(Tabelle_Book_Edition[[#This Row],[author_id]],Author!A:A,Author!B:B,"",0)</f>
        <v>Elizabeth Lane</v>
      </c>
      <c r="M28" s="1" t="str">
        <f>_xlfn.XLOOKUP(Tabelle_Book_Edition[[#This Row],[pub_id]],Publisher!A:A,Publisher!B:B,"",0)</f>
        <v>Etaoin Shrdlu Press</v>
      </c>
    </row>
    <row r="29" spans="1:13" x14ac:dyDescent="0.3">
      <c r="A29" s="1" t="s">
        <v>183</v>
      </c>
      <c r="B29" s="1" t="s">
        <v>179</v>
      </c>
      <c r="C29" s="1" t="s">
        <v>30</v>
      </c>
      <c r="D29" s="1" t="s">
        <v>49</v>
      </c>
      <c r="E29" s="2">
        <v>43516</v>
      </c>
      <c r="F29">
        <v>340</v>
      </c>
      <c r="G29">
        <v>10</v>
      </c>
      <c r="H29">
        <v>20.99</v>
      </c>
      <c r="I29" s="4">
        <v>48000</v>
      </c>
      <c r="J29" t="str">
        <f>_xlfn.XLOOKUP(Tabelle_Book_Edition[[#This Row],[book_id]],Award!A:A,Award!B:B,"",0)</f>
        <v>Pulitzer</v>
      </c>
      <c r="K29" t="str">
        <f>_xlfn.XLOOKUP(Tabelle_Book_Edition[[#This Row],[book_id]],Book!A:A,Book!C:C,"",0)</f>
        <v>EL233</v>
      </c>
      <c r="L29" t="str">
        <f>_xlfn.XLOOKUP(Tabelle_Book_Edition[[#This Row],[author_id]],Author!A:A,Author!B:B,"",0)</f>
        <v>Emma Lewis</v>
      </c>
      <c r="M29" s="1" t="str">
        <f>_xlfn.XLOOKUP(Tabelle_Book_Edition[[#This Row],[pub_id]],Publisher!A:A,Publisher!B:B,"",0)</f>
        <v>Palimpsest Printing</v>
      </c>
    </row>
    <row r="30" spans="1:13" x14ac:dyDescent="0.3">
      <c r="A30" s="1" t="s">
        <v>189</v>
      </c>
      <c r="B30" s="1" t="s">
        <v>184</v>
      </c>
      <c r="C30" s="1" t="s">
        <v>64</v>
      </c>
      <c r="D30" s="1" t="s">
        <v>49</v>
      </c>
      <c r="E30" s="2">
        <v>43359</v>
      </c>
      <c r="F30">
        <v>288</v>
      </c>
      <c r="G30">
        <v>10</v>
      </c>
      <c r="H30">
        <v>19.989999999999998</v>
      </c>
      <c r="I30" s="4">
        <v>2320000</v>
      </c>
      <c r="J30" t="str">
        <f>_xlfn.XLOOKUP(Tabelle_Book_Edition[[#This Row],[book_id]],Award!A:A,Award!B:B,"",0)</f>
        <v/>
      </c>
      <c r="K30" t="str">
        <f>_xlfn.XLOOKUP(Tabelle_Book_Edition[[#This Row],[book_id]],Book!A:A,Book!C:C,"",0)</f>
        <v>FC678</v>
      </c>
      <c r="L30" t="str">
        <f>_xlfn.XLOOKUP(Tabelle_Book_Edition[[#This Row],[author_id]],Author!A:A,Author!B:B,"",0)</f>
        <v>Francesca Costa</v>
      </c>
      <c r="M30" s="1" t="str">
        <f>_xlfn.XLOOKUP(Tabelle_Book_Edition[[#This Row],[pub_id]],Publisher!A:A,Publisher!B:B,"",0)</f>
        <v>Etaoin Shrdlu Press</v>
      </c>
    </row>
    <row r="31" spans="1:13" x14ac:dyDescent="0.3">
      <c r="A31" s="1" t="s">
        <v>192</v>
      </c>
      <c r="B31" s="1" t="s">
        <v>190</v>
      </c>
      <c r="C31" s="1" t="s">
        <v>30</v>
      </c>
      <c r="D31" s="1" t="s">
        <v>41</v>
      </c>
      <c r="E31" s="2">
        <v>44119</v>
      </c>
      <c r="F31">
        <v>270</v>
      </c>
      <c r="G31">
        <v>19</v>
      </c>
      <c r="H31">
        <v>8.99</v>
      </c>
      <c r="I31" s="4">
        <v>48000</v>
      </c>
      <c r="J31" t="str">
        <f>_xlfn.XLOOKUP(Tabelle_Book_Edition[[#This Row],[book_id]],Award!A:A,Award!B:B,"",0)</f>
        <v/>
      </c>
      <c r="K31" t="str">
        <f>_xlfn.XLOOKUP(Tabelle_Book_Edition[[#This Row],[book_id]],Book!A:A,Book!C:C,"",0)</f>
        <v>FC678</v>
      </c>
      <c r="L31" t="str">
        <f>_xlfn.XLOOKUP(Tabelle_Book_Edition[[#This Row],[author_id]],Author!A:A,Author!B:B,"",0)</f>
        <v>Francesca Costa</v>
      </c>
      <c r="M31" s="1" t="str">
        <f>_xlfn.XLOOKUP(Tabelle_Book_Edition[[#This Row],[pub_id]],Publisher!A:A,Publisher!B:B,"",0)</f>
        <v>Palimpsest Printing</v>
      </c>
    </row>
    <row r="32" spans="1:13" x14ac:dyDescent="0.3">
      <c r="A32" s="1" t="s">
        <v>198</v>
      </c>
      <c r="B32" s="1" t="s">
        <v>193</v>
      </c>
      <c r="C32" s="1" t="s">
        <v>64</v>
      </c>
      <c r="D32" s="1" t="s">
        <v>29</v>
      </c>
      <c r="E32" s="2">
        <v>44156</v>
      </c>
      <c r="F32">
        <v>408</v>
      </c>
      <c r="G32">
        <v>7</v>
      </c>
      <c r="H32">
        <v>29.99</v>
      </c>
      <c r="I32" s="4">
        <v>2320000</v>
      </c>
      <c r="J32" t="str">
        <f>_xlfn.XLOOKUP(Tabelle_Book_Edition[[#This Row],[book_id]],Award!A:A,Award!B:B,"",0)</f>
        <v/>
      </c>
      <c r="K32" t="str">
        <f>_xlfn.XLOOKUP(Tabelle_Book_Edition[[#This Row],[book_id]],Book!A:A,Book!C:C,"",0)</f>
        <v>FP244</v>
      </c>
      <c r="L32" t="str">
        <f>_xlfn.XLOOKUP(Tabelle_Book_Edition[[#This Row],[author_id]],Author!A:A,Author!B:B,"",0)</f>
        <v>Francisco Perez</v>
      </c>
      <c r="M32" s="1" t="str">
        <f>_xlfn.XLOOKUP(Tabelle_Book_Edition[[#This Row],[pub_id]],Publisher!A:A,Publisher!B:B,"",0)</f>
        <v>Etaoin Shrdlu Press</v>
      </c>
    </row>
    <row r="33" spans="1:13" x14ac:dyDescent="0.3">
      <c r="A33" s="1" t="s">
        <v>204</v>
      </c>
      <c r="B33" s="1" t="s">
        <v>199</v>
      </c>
      <c r="C33" s="1" t="s">
        <v>64</v>
      </c>
      <c r="D33" s="1" t="s">
        <v>41</v>
      </c>
      <c r="E33" s="2">
        <v>43946</v>
      </c>
      <c r="F33">
        <v>255</v>
      </c>
      <c r="G33">
        <v>16</v>
      </c>
      <c r="H33">
        <v>7.99</v>
      </c>
      <c r="I33" s="4">
        <v>2320000</v>
      </c>
      <c r="J33" t="str">
        <f>_xlfn.XLOOKUP(Tabelle_Book_Edition[[#This Row],[book_id]],Award!A:A,Award!B:B,"",0)</f>
        <v>National Book Award</v>
      </c>
      <c r="K33" t="str">
        <f>_xlfn.XLOOKUP(Tabelle_Book_Edition[[#This Row],[book_id]],Book!A:A,Book!C:C,"",0)</f>
        <v>FT112</v>
      </c>
      <c r="L33" t="str">
        <f>_xlfn.XLOOKUP(Tabelle_Book_Edition[[#This Row],[author_id]],Author!A:A,Author!B:B,"",0)</f>
        <v>Francis Tully</v>
      </c>
      <c r="M33" s="1" t="str">
        <f>_xlfn.XLOOKUP(Tabelle_Book_Edition[[#This Row],[pub_id]],Publisher!A:A,Publisher!B:B,"",0)</f>
        <v>Etaoin Shrdlu Press</v>
      </c>
    </row>
    <row r="34" spans="1:13" x14ac:dyDescent="0.3">
      <c r="A34" s="1" t="s">
        <v>210</v>
      </c>
      <c r="B34" s="1" t="s">
        <v>205</v>
      </c>
      <c r="C34" s="1" t="s">
        <v>30</v>
      </c>
      <c r="D34" s="1" t="s">
        <v>49</v>
      </c>
      <c r="E34" s="2">
        <v>43684</v>
      </c>
      <c r="F34">
        <v>355</v>
      </c>
      <c r="G34">
        <v>9</v>
      </c>
      <c r="H34">
        <v>22.99</v>
      </c>
      <c r="I34" s="4">
        <v>48000</v>
      </c>
      <c r="J34" t="str">
        <f>_xlfn.XLOOKUP(Tabelle_Book_Edition[[#This Row],[book_id]],Award!A:A,Award!B:B,"",0)</f>
        <v>Nebula Award</v>
      </c>
      <c r="K34" t="str">
        <f>_xlfn.XLOOKUP(Tabelle_Book_Edition[[#This Row],[book_id]],Book!A:A,Book!C:C,"",0)</f>
        <v>FT390</v>
      </c>
      <c r="L34" t="str">
        <f>_xlfn.XLOOKUP(Tabelle_Book_Edition[[#This Row],[author_id]],Author!A:A,Author!B:B,"",0)</f>
        <v>Felix Thompson</v>
      </c>
      <c r="M34" s="1" t="str">
        <f>_xlfn.XLOOKUP(Tabelle_Book_Edition[[#This Row],[pub_id]],Publisher!A:A,Publisher!B:B,"",0)</f>
        <v>Palimpsest Printing</v>
      </c>
    </row>
    <row r="35" spans="1:13" x14ac:dyDescent="0.3">
      <c r="A35" s="1" t="s">
        <v>215</v>
      </c>
      <c r="B35" s="1" t="s">
        <v>211</v>
      </c>
      <c r="C35" s="1" t="s">
        <v>64</v>
      </c>
      <c r="D35" s="1" t="s">
        <v>41</v>
      </c>
      <c r="E35" s="2">
        <v>43693</v>
      </c>
      <c r="F35">
        <v>312</v>
      </c>
      <c r="G35">
        <v>18</v>
      </c>
      <c r="H35">
        <v>8.99</v>
      </c>
      <c r="I35" s="4">
        <v>2320000</v>
      </c>
      <c r="J35" t="str">
        <f>_xlfn.XLOOKUP(Tabelle_Book_Edition[[#This Row],[book_id]],Award!A:A,Award!B:B,"",0)</f>
        <v>National Book Award</v>
      </c>
      <c r="K35" t="str">
        <f>_xlfn.XLOOKUP(Tabelle_Book_Edition[[#This Row],[book_id]],Book!A:A,Book!C:C,"",0)</f>
        <v>GM001</v>
      </c>
      <c r="L35" t="str">
        <f>_xlfn.XLOOKUP(Tabelle_Book_Edition[[#This Row],[author_id]],Author!A:A,Author!B:B,"",0)</f>
        <v>George Martin</v>
      </c>
      <c r="M35" s="1" t="str">
        <f>_xlfn.XLOOKUP(Tabelle_Book_Edition[[#This Row],[pub_id]],Publisher!A:A,Publisher!B:B,"",0)</f>
        <v>Etaoin Shrdlu Press</v>
      </c>
    </row>
    <row r="36" spans="1:13" x14ac:dyDescent="0.3">
      <c r="A36" s="1" t="s">
        <v>220</v>
      </c>
      <c r="B36" s="1" t="s">
        <v>216</v>
      </c>
      <c r="C36" s="1" t="s">
        <v>64</v>
      </c>
      <c r="D36" s="1" t="s">
        <v>29</v>
      </c>
      <c r="E36" s="2">
        <v>42898</v>
      </c>
      <c r="F36">
        <v>378</v>
      </c>
      <c r="G36">
        <v>10</v>
      </c>
      <c r="H36">
        <v>28.99</v>
      </c>
      <c r="I36" s="4">
        <v>2320000</v>
      </c>
      <c r="J36" t="str">
        <f>_xlfn.XLOOKUP(Tabelle_Book_Edition[[#This Row],[book_id]],Award!A:A,Award!B:B,"",0)</f>
        <v>Pulitzer</v>
      </c>
      <c r="K36" t="str">
        <f>_xlfn.XLOOKUP(Tabelle_Book_Edition[[#This Row],[book_id]],Book!A:A,Book!C:C,"",0)</f>
        <v>GR900</v>
      </c>
      <c r="L36" t="str">
        <f>_xlfn.XLOOKUP(Tabelle_Book_Edition[[#This Row],[author_id]],Author!A:A,Author!B:B,"",0)</f>
        <v>Grace Robinson</v>
      </c>
      <c r="M36" s="1" t="str">
        <f>_xlfn.XLOOKUP(Tabelle_Book_Edition[[#This Row],[pub_id]],Publisher!A:A,Publisher!B:B,"",0)</f>
        <v>Etaoin Shrdlu Press</v>
      </c>
    </row>
    <row r="37" spans="1:13" x14ac:dyDescent="0.3">
      <c r="A37" s="1" t="s">
        <v>225</v>
      </c>
      <c r="B37" s="1" t="s">
        <v>221</v>
      </c>
      <c r="C37" s="1" t="s">
        <v>64</v>
      </c>
      <c r="D37" s="1" t="s">
        <v>41</v>
      </c>
      <c r="E37" s="2">
        <v>43667</v>
      </c>
      <c r="F37">
        <v>295</v>
      </c>
      <c r="G37">
        <v>16</v>
      </c>
      <c r="H37">
        <v>8.99</v>
      </c>
      <c r="I37" s="4">
        <v>2320000</v>
      </c>
      <c r="J37" t="str">
        <f>_xlfn.XLOOKUP(Tabelle_Book_Edition[[#This Row],[book_id]],Award!A:A,Award!B:B,"",0)</f>
        <v/>
      </c>
      <c r="K37" t="str">
        <f>_xlfn.XLOOKUP(Tabelle_Book_Edition[[#This Row],[book_id]],Book!A:A,Book!C:C,"",0)</f>
        <v>HD222</v>
      </c>
      <c r="L37" t="str">
        <f>_xlfn.XLOOKUP(Tabelle_Book_Edition[[#This Row],[author_id]],Author!A:A,Author!B:B,"",0)</f>
        <v>Hannah Doyle</v>
      </c>
      <c r="M37" s="1" t="str">
        <f>_xlfn.XLOOKUP(Tabelle_Book_Edition[[#This Row],[pub_id]],Publisher!A:A,Publisher!B:B,"",0)</f>
        <v>Etaoin Shrdlu Press</v>
      </c>
    </row>
    <row r="38" spans="1:13" x14ac:dyDescent="0.3">
      <c r="A38" s="1" t="s">
        <v>226</v>
      </c>
      <c r="B38" s="1" t="s">
        <v>221</v>
      </c>
      <c r="C38" s="1" t="s">
        <v>150</v>
      </c>
      <c r="D38" s="1" t="s">
        <v>29</v>
      </c>
      <c r="E38" s="2">
        <v>43229</v>
      </c>
      <c r="F38">
        <v>330</v>
      </c>
      <c r="G38">
        <v>6</v>
      </c>
      <c r="H38">
        <v>2.65</v>
      </c>
      <c r="I38" s="4">
        <v>151000</v>
      </c>
      <c r="J38" t="str">
        <f>_xlfn.XLOOKUP(Tabelle_Book_Edition[[#This Row],[book_id]],Award!A:A,Award!B:B,"",0)</f>
        <v/>
      </c>
      <c r="K38" t="str">
        <f>_xlfn.XLOOKUP(Tabelle_Book_Edition[[#This Row],[book_id]],Book!A:A,Book!C:C,"",0)</f>
        <v>HD222</v>
      </c>
      <c r="L38" t="str">
        <f>_xlfn.XLOOKUP(Tabelle_Book_Edition[[#This Row],[author_id]],Author!A:A,Author!B:B,"",0)</f>
        <v>Hannah Doyle</v>
      </c>
      <c r="M38" s="1" t="str">
        <f>_xlfn.XLOOKUP(Tabelle_Book_Edition[[#This Row],[pub_id]],Publisher!A:A,Publisher!B:B,"",0)</f>
        <v>Sound &amp; Seas Co.</v>
      </c>
    </row>
    <row r="39" spans="1:13" x14ac:dyDescent="0.3">
      <c r="A39" s="1" t="s">
        <v>231</v>
      </c>
      <c r="B39" s="1" t="s">
        <v>227</v>
      </c>
      <c r="C39" s="1" t="s">
        <v>150</v>
      </c>
      <c r="D39" s="1" t="s">
        <v>29</v>
      </c>
      <c r="E39" s="2">
        <v>44030</v>
      </c>
      <c r="F39">
        <v>360</v>
      </c>
      <c r="G39">
        <v>8</v>
      </c>
      <c r="H39">
        <v>2.85</v>
      </c>
      <c r="I39" s="4">
        <v>151000</v>
      </c>
      <c r="J39" t="str">
        <f>_xlfn.XLOOKUP(Tabelle_Book_Edition[[#This Row],[book_id]],Award!A:A,Award!B:B,"",0)</f>
        <v/>
      </c>
      <c r="K39" t="str">
        <f>_xlfn.XLOOKUP(Tabelle_Book_Edition[[#This Row],[book_id]],Book!A:A,Book!C:C,"",0)</f>
        <v>HR001</v>
      </c>
      <c r="L39" t="str">
        <f>_xlfn.XLOOKUP(Tabelle_Book_Edition[[#This Row],[author_id]],Author!A:A,Author!B:B,"",0)</f>
        <v>Henry Richards</v>
      </c>
      <c r="M39" s="1" t="str">
        <f>_xlfn.XLOOKUP(Tabelle_Book_Edition[[#This Row],[pub_id]],Publisher!A:A,Publisher!B:B,"",0)</f>
        <v>Sound &amp; Seas Co.</v>
      </c>
    </row>
    <row r="40" spans="1:13" x14ac:dyDescent="0.3">
      <c r="A40" s="1" t="s">
        <v>237</v>
      </c>
      <c r="B40" s="1" t="s">
        <v>232</v>
      </c>
      <c r="C40" s="1" t="s">
        <v>64</v>
      </c>
      <c r="D40" s="1" t="s">
        <v>29</v>
      </c>
      <c r="E40" s="2">
        <v>43952</v>
      </c>
      <c r="F40">
        <v>398</v>
      </c>
      <c r="G40">
        <v>6</v>
      </c>
      <c r="H40">
        <v>28.99</v>
      </c>
      <c r="I40" s="4">
        <v>2320000</v>
      </c>
      <c r="J40" t="str">
        <f>_xlfn.XLOOKUP(Tabelle_Book_Edition[[#This Row],[book_id]],Award!A:A,Award!B:B,"",0)</f>
        <v/>
      </c>
      <c r="K40" t="str">
        <f>_xlfn.XLOOKUP(Tabelle_Book_Edition[[#This Row],[book_id]],Book!A:A,Book!C:C,"",0)</f>
        <v>HW301</v>
      </c>
      <c r="L40" t="str">
        <f>_xlfn.XLOOKUP(Tabelle_Book_Edition[[#This Row],[author_id]],Author!A:A,Author!B:B,"",0)</f>
        <v>Hyun Woo</v>
      </c>
      <c r="M40" s="1" t="str">
        <f>_xlfn.XLOOKUP(Tabelle_Book_Edition[[#This Row],[pub_id]],Publisher!A:A,Publisher!B:B,"",0)</f>
        <v>Etaoin Shrdlu Press</v>
      </c>
    </row>
    <row r="41" spans="1:13" x14ac:dyDescent="0.3">
      <c r="A41" s="1" t="s">
        <v>242</v>
      </c>
      <c r="B41" s="1" t="s">
        <v>238</v>
      </c>
      <c r="C41" s="1" t="s">
        <v>150</v>
      </c>
      <c r="D41" s="1" t="s">
        <v>49</v>
      </c>
      <c r="E41" s="2">
        <v>43912</v>
      </c>
      <c r="F41">
        <v>310</v>
      </c>
      <c r="G41">
        <v>7</v>
      </c>
      <c r="H41">
        <v>2.0499999999999998</v>
      </c>
      <c r="I41" s="4">
        <v>151000</v>
      </c>
      <c r="J41" t="str">
        <f>_xlfn.XLOOKUP(Tabelle_Book_Edition[[#This Row],[book_id]],Award!A:A,Award!B:B,"",0)</f>
        <v/>
      </c>
      <c r="K41" t="str">
        <f>_xlfn.XLOOKUP(Tabelle_Book_Edition[[#This Row],[book_id]],Book!A:A,Book!C:C,"",0)</f>
        <v>IS989</v>
      </c>
      <c r="L41" t="str">
        <f>_xlfn.XLOOKUP(Tabelle_Book_Edition[[#This Row],[author_id]],Author!A:A,Author!B:B,"",0)</f>
        <v>Isabel Santiago</v>
      </c>
      <c r="M41" s="1" t="str">
        <f>_xlfn.XLOOKUP(Tabelle_Book_Edition[[#This Row],[pub_id]],Publisher!A:A,Publisher!B:B,"",0)</f>
        <v>Sound &amp; Seas Co.</v>
      </c>
    </row>
    <row r="42" spans="1:13" x14ac:dyDescent="0.3">
      <c r="A42" s="1" t="s">
        <v>243</v>
      </c>
      <c r="B42" s="1" t="s">
        <v>238</v>
      </c>
      <c r="C42" s="1" t="s">
        <v>30</v>
      </c>
      <c r="D42" s="1" t="s">
        <v>29</v>
      </c>
      <c r="E42" s="2">
        <v>43476</v>
      </c>
      <c r="F42">
        <v>301</v>
      </c>
      <c r="G42">
        <v>5</v>
      </c>
      <c r="H42">
        <v>24.99</v>
      </c>
      <c r="I42" s="4">
        <v>48000</v>
      </c>
      <c r="J42" t="str">
        <f>_xlfn.XLOOKUP(Tabelle_Book_Edition[[#This Row],[book_id]],Award!A:A,Award!B:B,"",0)</f>
        <v/>
      </c>
      <c r="K42" t="str">
        <f>_xlfn.XLOOKUP(Tabelle_Book_Edition[[#This Row],[book_id]],Book!A:A,Book!C:C,"",0)</f>
        <v>IS989</v>
      </c>
      <c r="L42" t="str">
        <f>_xlfn.XLOOKUP(Tabelle_Book_Edition[[#This Row],[author_id]],Author!A:A,Author!B:B,"",0)</f>
        <v>Isabel Santiago</v>
      </c>
      <c r="M42" s="1" t="str">
        <f>_xlfn.XLOOKUP(Tabelle_Book_Edition[[#This Row],[pub_id]],Publisher!A:A,Publisher!B:B,"",0)</f>
        <v>Palimpsest Printing</v>
      </c>
    </row>
    <row r="43" spans="1:13" x14ac:dyDescent="0.3">
      <c r="A43" s="1" t="s">
        <v>248</v>
      </c>
      <c r="B43" s="1" t="s">
        <v>244</v>
      </c>
      <c r="C43" s="1" t="s">
        <v>64</v>
      </c>
      <c r="D43" s="1" t="s">
        <v>29</v>
      </c>
      <c r="E43" s="2">
        <v>43782</v>
      </c>
      <c r="F43">
        <v>399</v>
      </c>
      <c r="G43">
        <v>10</v>
      </c>
      <c r="H43">
        <v>28.99</v>
      </c>
      <c r="I43" s="4">
        <v>2320000</v>
      </c>
      <c r="J43" t="str">
        <f>_xlfn.XLOOKUP(Tabelle_Book_Edition[[#This Row],[book_id]],Award!A:A,Award!B:B,"",0)</f>
        <v/>
      </c>
      <c r="K43" t="str">
        <f>_xlfn.XLOOKUP(Tabelle_Book_Edition[[#This Row],[book_id]],Book!A:A,Book!C:C,"",0)</f>
        <v>JA555</v>
      </c>
      <c r="L43" t="str">
        <f>_xlfn.XLOOKUP(Tabelle_Book_Edition[[#This Row],[author_id]],Author!A:A,Author!B:B,"",0)</f>
        <v>Jonathan Adler</v>
      </c>
      <c r="M43" s="1" t="str">
        <f>_xlfn.XLOOKUP(Tabelle_Book_Edition[[#This Row],[pub_id]],Publisher!A:A,Publisher!B:B,"",0)</f>
        <v>Etaoin Shrdlu Press</v>
      </c>
    </row>
    <row r="44" spans="1:13" x14ac:dyDescent="0.3">
      <c r="A44" s="1" t="s">
        <v>253</v>
      </c>
      <c r="B44" s="1" t="s">
        <v>249</v>
      </c>
      <c r="C44" s="1" t="s">
        <v>30</v>
      </c>
      <c r="D44" s="1" t="s">
        <v>49</v>
      </c>
      <c r="E44" s="2">
        <v>44075</v>
      </c>
      <c r="F44">
        <v>288</v>
      </c>
      <c r="G44">
        <v>11</v>
      </c>
      <c r="H44">
        <v>20.99</v>
      </c>
      <c r="I44" s="4">
        <v>48000</v>
      </c>
      <c r="J44" t="str">
        <f>_xlfn.XLOOKUP(Tabelle_Book_Edition[[#This Row],[book_id]],Award!A:A,Award!B:B,"",0)</f>
        <v/>
      </c>
      <c r="K44" t="str">
        <f>_xlfn.XLOOKUP(Tabelle_Book_Edition[[#This Row],[book_id]],Book!A:A,Book!C:C,"",0)</f>
        <v>JC654</v>
      </c>
      <c r="L44" t="str">
        <f>_xlfn.XLOOKUP(Tabelle_Book_Edition[[#This Row],[author_id]],Author!A:A,Author!B:B,"",0)</f>
        <v>Jordan Collins</v>
      </c>
      <c r="M44" s="1" t="str">
        <f>_xlfn.XLOOKUP(Tabelle_Book_Edition[[#This Row],[pub_id]],Publisher!A:A,Publisher!B:B,"",0)</f>
        <v>Palimpsest Printing</v>
      </c>
    </row>
    <row r="45" spans="1:13" x14ac:dyDescent="0.3">
      <c r="A45" s="1" t="s">
        <v>258</v>
      </c>
      <c r="B45" s="1" t="s">
        <v>254</v>
      </c>
      <c r="C45" s="1" t="s">
        <v>64</v>
      </c>
      <c r="D45" s="1" t="s">
        <v>29</v>
      </c>
      <c r="E45" s="2">
        <v>43733</v>
      </c>
      <c r="F45">
        <v>362</v>
      </c>
      <c r="G45">
        <v>7</v>
      </c>
      <c r="H45">
        <v>27.99</v>
      </c>
      <c r="I45" s="4">
        <v>2320000</v>
      </c>
      <c r="J45" t="str">
        <f>_xlfn.XLOOKUP(Tabelle_Book_Edition[[#This Row],[book_id]],Award!A:A,Award!B:B,"",0)</f>
        <v/>
      </c>
      <c r="K45" t="str">
        <f>_xlfn.XLOOKUP(Tabelle_Book_Edition[[#This Row],[book_id]],Book!A:A,Book!C:C,"",0)</f>
        <v>JD400</v>
      </c>
      <c r="L45" t="str">
        <f>_xlfn.XLOOKUP(Tabelle_Book_Edition[[#This Row],[author_id]],Author!A:A,Author!B:B,"",0)</f>
        <v>Jake Daniels</v>
      </c>
      <c r="M45" s="1" t="str">
        <f>_xlfn.XLOOKUP(Tabelle_Book_Edition[[#This Row],[pub_id]],Publisher!A:A,Publisher!B:B,"",0)</f>
        <v>Etaoin Shrdlu Press</v>
      </c>
    </row>
    <row r="46" spans="1:13" x14ac:dyDescent="0.3">
      <c r="A46" s="1" t="s">
        <v>263</v>
      </c>
      <c r="B46" s="1" t="s">
        <v>259</v>
      </c>
      <c r="C46" s="1" t="s">
        <v>150</v>
      </c>
      <c r="D46" s="1" t="s">
        <v>29</v>
      </c>
      <c r="E46" s="2">
        <v>43848</v>
      </c>
      <c r="F46">
        <v>399</v>
      </c>
      <c r="G46">
        <v>8</v>
      </c>
      <c r="H46">
        <v>28.99</v>
      </c>
      <c r="I46" s="4">
        <v>151000</v>
      </c>
      <c r="J46" t="str">
        <f>_xlfn.XLOOKUP(Tabelle_Book_Edition[[#This Row],[book_id]],Award!A:A,Award!B:B,"",0)</f>
        <v/>
      </c>
      <c r="K46" t="str">
        <f>_xlfn.XLOOKUP(Tabelle_Book_Edition[[#This Row],[book_id]],Book!A:A,Book!C:C,"",0)</f>
        <v>JF555</v>
      </c>
      <c r="L46" t="str">
        <f>_xlfn.XLOOKUP(Tabelle_Book_Edition[[#This Row],[author_id]],Author!A:A,Author!B:B,"",0)</f>
        <v>John Foster</v>
      </c>
      <c r="M46" s="1" t="str">
        <f>_xlfn.XLOOKUP(Tabelle_Book_Edition[[#This Row],[pub_id]],Publisher!A:A,Publisher!B:B,"",0)</f>
        <v>Sound &amp; Seas Co.</v>
      </c>
    </row>
    <row r="47" spans="1:13" x14ac:dyDescent="0.3">
      <c r="A47" s="1" t="s">
        <v>268</v>
      </c>
      <c r="B47" s="1" t="s">
        <v>264</v>
      </c>
      <c r="C47" s="1" t="s">
        <v>64</v>
      </c>
      <c r="D47" s="1" t="s">
        <v>49</v>
      </c>
      <c r="E47" s="2">
        <v>43945</v>
      </c>
      <c r="F47">
        <v>328</v>
      </c>
      <c r="G47">
        <v>9</v>
      </c>
      <c r="H47">
        <v>2.25</v>
      </c>
      <c r="I47" s="4">
        <v>2320000</v>
      </c>
      <c r="J47" t="str">
        <f>_xlfn.XLOOKUP(Tabelle_Book_Edition[[#This Row],[book_id]],Award!A:A,Award!B:B,"",0)</f>
        <v/>
      </c>
      <c r="K47" t="str">
        <f>_xlfn.XLOOKUP(Tabelle_Book_Edition[[#This Row],[book_id]],Book!A:A,Book!C:C,"",0)</f>
        <v>JH710</v>
      </c>
      <c r="L47" t="str">
        <f>_xlfn.XLOOKUP(Tabelle_Book_Edition[[#This Row],[author_id]],Author!A:A,Author!B:B,"",0)</f>
        <v>Joseph Harris</v>
      </c>
      <c r="M47" s="1" t="str">
        <f>_xlfn.XLOOKUP(Tabelle_Book_Edition[[#This Row],[pub_id]],Publisher!A:A,Publisher!B:B,"",0)</f>
        <v>Etaoin Shrdlu Press</v>
      </c>
    </row>
    <row r="48" spans="1:13" x14ac:dyDescent="0.3">
      <c r="A48" s="1" t="s">
        <v>269</v>
      </c>
      <c r="B48" s="1" t="s">
        <v>264</v>
      </c>
      <c r="C48" s="1" t="s">
        <v>30</v>
      </c>
      <c r="D48" s="1" t="s">
        <v>29</v>
      </c>
      <c r="E48" s="2">
        <v>43508</v>
      </c>
      <c r="F48">
        <v>340</v>
      </c>
      <c r="G48">
        <v>6</v>
      </c>
      <c r="H48">
        <v>26.99</v>
      </c>
      <c r="I48" s="4">
        <v>48000</v>
      </c>
      <c r="J48" t="str">
        <f>_xlfn.XLOOKUP(Tabelle_Book_Edition[[#This Row],[book_id]],Award!A:A,Award!B:B,"",0)</f>
        <v/>
      </c>
      <c r="K48" t="str">
        <f>_xlfn.XLOOKUP(Tabelle_Book_Edition[[#This Row],[book_id]],Book!A:A,Book!C:C,"",0)</f>
        <v>JH710</v>
      </c>
      <c r="L48" t="str">
        <f>_xlfn.XLOOKUP(Tabelle_Book_Edition[[#This Row],[author_id]],Author!A:A,Author!B:B,"",0)</f>
        <v>Joseph Harris</v>
      </c>
      <c r="M48" s="1" t="str">
        <f>_xlfn.XLOOKUP(Tabelle_Book_Edition[[#This Row],[pub_id]],Publisher!A:A,Publisher!B:B,"",0)</f>
        <v>Palimpsest Printing</v>
      </c>
    </row>
    <row r="49" spans="1:13" x14ac:dyDescent="0.3">
      <c r="A49" s="1" t="s">
        <v>274</v>
      </c>
      <c r="B49" s="1" t="s">
        <v>270</v>
      </c>
      <c r="C49" s="1" t="s">
        <v>64</v>
      </c>
      <c r="D49" s="1" t="s">
        <v>29</v>
      </c>
      <c r="E49" s="2">
        <v>43942</v>
      </c>
      <c r="F49">
        <v>390</v>
      </c>
      <c r="G49">
        <v>7</v>
      </c>
      <c r="H49">
        <v>28.99</v>
      </c>
      <c r="I49" s="4">
        <v>2320000</v>
      </c>
      <c r="J49" t="str">
        <f>_xlfn.XLOOKUP(Tabelle_Book_Edition[[#This Row],[book_id]],Award!A:A,Award!B:B,"",0)</f>
        <v/>
      </c>
      <c r="K49" t="str">
        <f>_xlfn.XLOOKUP(Tabelle_Book_Edition[[#This Row],[book_id]],Book!A:A,Book!C:C,"",0)</f>
        <v>JJ510</v>
      </c>
      <c r="L49" t="str">
        <f>_xlfn.XLOOKUP(Tabelle_Book_Edition[[#This Row],[author_id]],Author!A:A,Author!B:B,"",0)</f>
        <v>J.J. Abrams</v>
      </c>
      <c r="M49" s="1" t="str">
        <f>_xlfn.XLOOKUP(Tabelle_Book_Edition[[#This Row],[pub_id]],Publisher!A:A,Publisher!B:B,"",0)</f>
        <v>Etaoin Shrdlu Press</v>
      </c>
    </row>
    <row r="50" spans="1:13" x14ac:dyDescent="0.3">
      <c r="A50" s="1" t="s">
        <v>279</v>
      </c>
      <c r="B50" s="1" t="s">
        <v>275</v>
      </c>
      <c r="C50" s="1" t="s">
        <v>150</v>
      </c>
      <c r="D50" s="1" t="s">
        <v>29</v>
      </c>
      <c r="E50" s="2">
        <v>44107</v>
      </c>
      <c r="F50">
        <v>402</v>
      </c>
      <c r="G50">
        <v>9</v>
      </c>
      <c r="H50">
        <v>29.99</v>
      </c>
      <c r="I50" s="4">
        <v>151000</v>
      </c>
      <c r="J50" t="str">
        <f>_xlfn.XLOOKUP(Tabelle_Book_Edition[[#This Row],[book_id]],Award!A:A,Award!B:B,"",0)</f>
        <v>Pulitzer</v>
      </c>
      <c r="K50" t="str">
        <f>_xlfn.XLOOKUP(Tabelle_Book_Edition[[#This Row],[book_id]],Book!A:A,Book!C:C,"",0)</f>
        <v>JK001</v>
      </c>
      <c r="L50" t="str">
        <f>_xlfn.XLOOKUP(Tabelle_Book_Edition[[#This Row],[author_id]],Author!A:A,Author!B:B,"",0)</f>
        <v>Joanne Rowling</v>
      </c>
      <c r="M50" s="1" t="str">
        <f>_xlfn.XLOOKUP(Tabelle_Book_Edition[[#This Row],[pub_id]],Publisher!A:A,Publisher!B:B,"",0)</f>
        <v>Sound &amp; Seas Co.</v>
      </c>
    </row>
    <row r="51" spans="1:13" x14ac:dyDescent="0.3">
      <c r="A51" s="1" t="s">
        <v>282</v>
      </c>
      <c r="B51" s="1" t="s">
        <v>280</v>
      </c>
      <c r="C51" s="1" t="s">
        <v>64</v>
      </c>
      <c r="D51" s="1" t="s">
        <v>29</v>
      </c>
      <c r="E51" s="2">
        <v>43382</v>
      </c>
      <c r="F51">
        <v>312</v>
      </c>
      <c r="G51">
        <v>7</v>
      </c>
      <c r="H51">
        <v>2.65</v>
      </c>
      <c r="I51" s="4">
        <v>2320000</v>
      </c>
      <c r="J51" t="str">
        <f>_xlfn.XLOOKUP(Tabelle_Book_Edition[[#This Row],[book_id]],Award!A:A,Award!B:B,"",0)</f>
        <v/>
      </c>
      <c r="K51" t="str">
        <f>_xlfn.XLOOKUP(Tabelle_Book_Edition[[#This Row],[book_id]],Book!A:A,Book!C:C,"",0)</f>
        <v>JK001</v>
      </c>
      <c r="L51" t="str">
        <f>_xlfn.XLOOKUP(Tabelle_Book_Edition[[#This Row],[author_id]],Author!A:A,Author!B:B,"",0)</f>
        <v>Joanne Rowling</v>
      </c>
      <c r="M51" s="1" t="str">
        <f>_xlfn.XLOOKUP(Tabelle_Book_Edition[[#This Row],[pub_id]],Publisher!A:A,Publisher!B:B,"",0)</f>
        <v>Etaoin Shrdlu Press</v>
      </c>
    </row>
    <row r="52" spans="1:13" x14ac:dyDescent="0.3">
      <c r="A52" s="1" t="s">
        <v>287</v>
      </c>
      <c r="B52" s="1" t="s">
        <v>283</v>
      </c>
      <c r="C52" s="1" t="s">
        <v>86</v>
      </c>
      <c r="D52" s="1" t="s">
        <v>29</v>
      </c>
      <c r="E52" s="2">
        <v>43265</v>
      </c>
      <c r="F52">
        <v>342</v>
      </c>
      <c r="G52">
        <v>7</v>
      </c>
      <c r="H52">
        <v>26.99</v>
      </c>
      <c r="I52" s="4">
        <v>72000</v>
      </c>
      <c r="J52" t="str">
        <f>_xlfn.XLOOKUP(Tabelle_Book_Edition[[#This Row],[book_id]],Award!A:A,Award!B:B,"",0)</f>
        <v>Hugo Award</v>
      </c>
      <c r="K52" t="str">
        <f>_xlfn.XLOOKUP(Tabelle_Book_Edition[[#This Row],[book_id]],Book!A:A,Book!C:C,"",0)</f>
        <v>JK201</v>
      </c>
      <c r="L52" t="str">
        <f>_xlfn.XLOOKUP(Tabelle_Book_Edition[[#This Row],[author_id]],Author!A:A,Author!B:B,"",0)</f>
        <v>Joanne Knight</v>
      </c>
      <c r="M52" s="1" t="str">
        <f>_xlfn.XLOOKUP(Tabelle_Book_Edition[[#This Row],[pub_id]],Publisher!A:A,Publisher!B:B,"",0)</f>
        <v>Cedar House Publishers</v>
      </c>
    </row>
    <row r="53" spans="1:13" x14ac:dyDescent="0.3">
      <c r="A53" s="1" t="s">
        <v>292</v>
      </c>
      <c r="B53" s="1" t="s">
        <v>288</v>
      </c>
      <c r="C53" s="1" t="s">
        <v>30</v>
      </c>
      <c r="D53" s="1" t="s">
        <v>41</v>
      </c>
      <c r="E53" s="2">
        <v>43544</v>
      </c>
      <c r="F53">
        <v>285</v>
      </c>
      <c r="G53">
        <v>17</v>
      </c>
      <c r="H53">
        <v>0.95</v>
      </c>
      <c r="I53" s="4">
        <v>48000</v>
      </c>
      <c r="J53" t="str">
        <f>_xlfn.XLOOKUP(Tabelle_Book_Edition[[#This Row],[book_id]],Award!A:A,Award!B:B,"",0)</f>
        <v/>
      </c>
      <c r="K53" t="str">
        <f>_xlfn.XLOOKUP(Tabelle_Book_Edition[[#This Row],[book_id]],Book!A:A,Book!C:C,"",0)</f>
        <v>JP205</v>
      </c>
      <c r="L53" t="str">
        <f>_xlfn.XLOOKUP(Tabelle_Book_Edition[[#This Row],[author_id]],Author!A:A,Author!B:B,"",0)</f>
        <v>John Porter</v>
      </c>
      <c r="M53" s="1" t="str">
        <f>_xlfn.XLOOKUP(Tabelle_Book_Edition[[#This Row],[pub_id]],Publisher!A:A,Publisher!B:B,"",0)</f>
        <v>Palimpsest Printing</v>
      </c>
    </row>
    <row r="54" spans="1:13" x14ac:dyDescent="0.3">
      <c r="A54" s="1" t="s">
        <v>297</v>
      </c>
      <c r="B54" s="1" t="s">
        <v>293</v>
      </c>
      <c r="C54" s="1" t="s">
        <v>64</v>
      </c>
      <c r="D54" s="1" t="s">
        <v>29</v>
      </c>
      <c r="E54" s="2">
        <v>43108</v>
      </c>
      <c r="F54">
        <v>377</v>
      </c>
      <c r="G54">
        <v>5</v>
      </c>
      <c r="H54">
        <v>2.95</v>
      </c>
      <c r="I54" s="4">
        <v>2320000</v>
      </c>
      <c r="J54" t="str">
        <f>_xlfn.XLOOKUP(Tabelle_Book_Edition[[#This Row],[book_id]],Award!A:A,Award!B:B,"",0)</f>
        <v/>
      </c>
      <c r="K54" t="str">
        <f>_xlfn.XLOOKUP(Tabelle_Book_Edition[[#This Row],[book_id]],Book!A:A,Book!C:C,"",0)</f>
        <v>JQ410</v>
      </c>
      <c r="L54" t="str">
        <f>_xlfn.XLOOKUP(Tabelle_Book_Edition[[#This Row],[author_id]],Author!A:A,Author!B:B,"",0)</f>
        <v>Julia Quinn</v>
      </c>
      <c r="M54" s="1" t="str">
        <f>_xlfn.XLOOKUP(Tabelle_Book_Edition[[#This Row],[pub_id]],Publisher!A:A,Publisher!B:B,"",0)</f>
        <v>Etaoin Shrdlu Press</v>
      </c>
    </row>
    <row r="55" spans="1:13" x14ac:dyDescent="0.3">
      <c r="A55" s="1" t="s">
        <v>302</v>
      </c>
      <c r="B55" s="1" t="s">
        <v>298</v>
      </c>
      <c r="C55" s="1" t="s">
        <v>64</v>
      </c>
      <c r="D55" s="1" t="s">
        <v>49</v>
      </c>
      <c r="E55" s="2">
        <v>43730</v>
      </c>
      <c r="F55">
        <v>345</v>
      </c>
      <c r="G55">
        <v>12</v>
      </c>
      <c r="H55">
        <v>22.99</v>
      </c>
      <c r="I55" s="4">
        <v>2320000</v>
      </c>
      <c r="J55" t="str">
        <f>_xlfn.XLOOKUP(Tabelle_Book_Edition[[#This Row],[book_id]],Award!A:A,Award!B:B,"",0)</f>
        <v>Nebula Award</v>
      </c>
      <c r="K55" t="str">
        <f>_xlfn.XLOOKUP(Tabelle_Book_Edition[[#This Row],[book_id]],Book!A:A,Book!C:C,"",0)</f>
        <v>JR221</v>
      </c>
      <c r="L55" t="str">
        <f>_xlfn.XLOOKUP(Tabelle_Book_Edition[[#This Row],[author_id]],Author!A:A,Author!B:B,"",0)</f>
        <v>Jessica Roberts</v>
      </c>
      <c r="M55" s="1" t="str">
        <f>_xlfn.XLOOKUP(Tabelle_Book_Edition[[#This Row],[pub_id]],Publisher!A:A,Publisher!B:B,"",0)</f>
        <v>Etaoin Shrdlu Press</v>
      </c>
    </row>
    <row r="56" spans="1:13" x14ac:dyDescent="0.3">
      <c r="A56" s="1" t="s">
        <v>305</v>
      </c>
      <c r="B56" s="1" t="s">
        <v>303</v>
      </c>
      <c r="C56" s="1" t="s">
        <v>30</v>
      </c>
      <c r="D56" s="1" t="s">
        <v>49</v>
      </c>
      <c r="E56" s="2">
        <v>43505</v>
      </c>
      <c r="F56">
        <v>337</v>
      </c>
      <c r="G56">
        <v>8</v>
      </c>
      <c r="H56">
        <v>21.99</v>
      </c>
      <c r="I56" s="4">
        <v>48000</v>
      </c>
      <c r="J56" t="str">
        <f>_xlfn.XLOOKUP(Tabelle_Book_Edition[[#This Row],[book_id]],Award!A:A,Award!B:B,"",0)</f>
        <v/>
      </c>
      <c r="K56" t="str">
        <f>_xlfn.XLOOKUP(Tabelle_Book_Edition[[#This Row],[book_id]],Book!A:A,Book!C:C,"",0)</f>
        <v>JR221</v>
      </c>
      <c r="L56" t="str">
        <f>_xlfn.XLOOKUP(Tabelle_Book_Edition[[#This Row],[author_id]],Author!A:A,Author!B:B,"",0)</f>
        <v>Jessica Roberts</v>
      </c>
      <c r="M56" s="1" t="str">
        <f>_xlfn.XLOOKUP(Tabelle_Book_Edition[[#This Row],[pub_id]],Publisher!A:A,Publisher!B:B,"",0)</f>
        <v>Palimpsest Printing</v>
      </c>
    </row>
    <row r="57" spans="1:13" x14ac:dyDescent="0.3">
      <c r="A57" s="1" t="s">
        <v>310</v>
      </c>
      <c r="B57" s="1" t="s">
        <v>306</v>
      </c>
      <c r="C57" s="1" t="s">
        <v>30</v>
      </c>
      <c r="D57" s="1" t="s">
        <v>29</v>
      </c>
      <c r="E57" s="2">
        <v>43468</v>
      </c>
      <c r="F57">
        <v>355</v>
      </c>
      <c r="G57">
        <v>7</v>
      </c>
      <c r="H57">
        <v>2.75</v>
      </c>
      <c r="I57" s="4">
        <v>48000</v>
      </c>
      <c r="J57" t="str">
        <f>_xlfn.XLOOKUP(Tabelle_Book_Edition[[#This Row],[book_id]],Award!A:A,Award!B:B,"",0)</f>
        <v/>
      </c>
      <c r="K57" t="str">
        <f>_xlfn.XLOOKUP(Tabelle_Book_Edition[[#This Row],[book_id]],Book!A:A,Book!C:C,"",0)</f>
        <v>JS001</v>
      </c>
      <c r="L57" t="str">
        <f>_xlfn.XLOOKUP(Tabelle_Book_Edition[[#This Row],[author_id]],Author!A:A,Author!B:B,"",0)</f>
        <v>James Smith</v>
      </c>
      <c r="M57" s="1" t="str">
        <f>_xlfn.XLOOKUP(Tabelle_Book_Edition[[#This Row],[pub_id]],Publisher!A:A,Publisher!B:B,"",0)</f>
        <v>Palimpsest Printing</v>
      </c>
    </row>
    <row r="58" spans="1:13" x14ac:dyDescent="0.3">
      <c r="A58" s="1" t="s">
        <v>311</v>
      </c>
      <c r="B58" s="1" t="s">
        <v>306</v>
      </c>
      <c r="C58" s="1" t="s">
        <v>64</v>
      </c>
      <c r="D58" s="1" t="s">
        <v>41</v>
      </c>
      <c r="E58" s="2">
        <v>43051</v>
      </c>
      <c r="F58">
        <v>280</v>
      </c>
      <c r="G58">
        <v>17</v>
      </c>
      <c r="H58">
        <v>8.99</v>
      </c>
      <c r="I58" s="4">
        <v>2320000</v>
      </c>
      <c r="J58" t="str">
        <f>_xlfn.XLOOKUP(Tabelle_Book_Edition[[#This Row],[book_id]],Award!A:A,Award!B:B,"",0)</f>
        <v/>
      </c>
      <c r="K58" t="str">
        <f>_xlfn.XLOOKUP(Tabelle_Book_Edition[[#This Row],[book_id]],Book!A:A,Book!C:C,"",0)</f>
        <v>JS001</v>
      </c>
      <c r="L58" t="str">
        <f>_xlfn.XLOOKUP(Tabelle_Book_Edition[[#This Row],[author_id]],Author!A:A,Author!B:B,"",0)</f>
        <v>James Smith</v>
      </c>
      <c r="M58" s="1" t="str">
        <f>_xlfn.XLOOKUP(Tabelle_Book_Edition[[#This Row],[pub_id]],Publisher!A:A,Publisher!B:B,"",0)</f>
        <v>Etaoin Shrdlu Press</v>
      </c>
    </row>
    <row r="59" spans="1:13" x14ac:dyDescent="0.3">
      <c r="A59" s="1" t="s">
        <v>316</v>
      </c>
      <c r="B59" s="1" t="s">
        <v>312</v>
      </c>
      <c r="C59" s="1" t="s">
        <v>64</v>
      </c>
      <c r="D59" s="1" t="s">
        <v>49</v>
      </c>
      <c r="E59" s="2">
        <v>43566</v>
      </c>
      <c r="F59">
        <v>358</v>
      </c>
      <c r="G59">
        <v>9</v>
      </c>
      <c r="H59">
        <v>22.99</v>
      </c>
      <c r="I59" s="4">
        <v>2320000</v>
      </c>
      <c r="J59" t="str">
        <f>_xlfn.XLOOKUP(Tabelle_Book_Edition[[#This Row],[book_id]],Award!A:A,Award!B:B,"",0)</f>
        <v>Young Reader's Choice Award</v>
      </c>
      <c r="K59" t="str">
        <f>_xlfn.XLOOKUP(Tabelle_Book_Edition[[#This Row],[book_id]],Book!A:A,Book!C:C,"",0)</f>
        <v>JS098</v>
      </c>
      <c r="L59" t="str">
        <f>_xlfn.XLOOKUP(Tabelle_Book_Edition[[#This Row],[author_id]],Author!A:A,Author!B:B,"",0)</f>
        <v>Jenny Scott</v>
      </c>
      <c r="M59" s="1" t="str">
        <f>_xlfn.XLOOKUP(Tabelle_Book_Edition[[#This Row],[pub_id]],Publisher!A:A,Publisher!B:B,"",0)</f>
        <v>Etaoin Shrdlu Press</v>
      </c>
    </row>
    <row r="60" spans="1:13" x14ac:dyDescent="0.3">
      <c r="A60" s="1" t="s">
        <v>321</v>
      </c>
      <c r="B60" s="1" t="s">
        <v>317</v>
      </c>
      <c r="C60" s="1" t="s">
        <v>86</v>
      </c>
      <c r="D60" s="1" t="s">
        <v>29</v>
      </c>
      <c r="E60" s="2">
        <v>42928</v>
      </c>
      <c r="F60">
        <v>394</v>
      </c>
      <c r="G60">
        <v>6</v>
      </c>
      <c r="H60">
        <v>30.99</v>
      </c>
      <c r="I60" s="4">
        <v>72000</v>
      </c>
      <c r="J60" t="str">
        <f>_xlfn.XLOOKUP(Tabelle_Book_Edition[[#This Row],[book_id]],Award!A:A,Award!B:B,"",0)</f>
        <v/>
      </c>
      <c r="K60" t="str">
        <f>_xlfn.XLOOKUP(Tabelle_Book_Edition[[#This Row],[book_id]],Book!A:A,Book!C:C,"",0)</f>
        <v>JS876</v>
      </c>
      <c r="L60" t="str">
        <f>_xlfn.XLOOKUP(Tabelle_Book_Edition[[#This Row],[author_id]],Author!A:A,Author!B:B,"",0)</f>
        <v>Julia Simmons</v>
      </c>
      <c r="M60" s="1" t="str">
        <f>_xlfn.XLOOKUP(Tabelle_Book_Edition[[#This Row],[pub_id]],Publisher!A:A,Publisher!B:B,"",0)</f>
        <v>Cedar House Publishers</v>
      </c>
    </row>
    <row r="61" spans="1:13" x14ac:dyDescent="0.3">
      <c r="A61" s="1" t="s">
        <v>326</v>
      </c>
      <c r="B61" s="1" t="s">
        <v>322</v>
      </c>
      <c r="C61" s="1" t="s">
        <v>64</v>
      </c>
      <c r="D61" s="1" t="s">
        <v>29</v>
      </c>
      <c r="E61" s="2">
        <v>43409</v>
      </c>
      <c r="F61">
        <v>350</v>
      </c>
      <c r="G61">
        <v>5</v>
      </c>
      <c r="H61">
        <v>2.75</v>
      </c>
      <c r="I61" s="4">
        <v>2320000</v>
      </c>
      <c r="J61" t="str">
        <f>_xlfn.XLOOKUP(Tabelle_Book_Edition[[#This Row],[book_id]],Award!A:A,Award!B:B,"",0)</f>
        <v>Pulitzer</v>
      </c>
      <c r="K61" t="str">
        <f>_xlfn.XLOOKUP(Tabelle_Book_Edition[[#This Row],[book_id]],Book!A:A,Book!C:C,"",0)</f>
        <v>KM451</v>
      </c>
      <c r="L61" t="str">
        <f>_xlfn.XLOOKUP(Tabelle_Book_Edition[[#This Row],[author_id]],Author!A:A,Author!B:B,"",0)</f>
        <v>Kim Martinez</v>
      </c>
      <c r="M61" s="1" t="str">
        <f>_xlfn.XLOOKUP(Tabelle_Book_Edition[[#This Row],[pub_id]],Publisher!A:A,Publisher!B:B,"",0)</f>
        <v>Etaoin Shrdlu Press</v>
      </c>
    </row>
    <row r="62" spans="1:13" x14ac:dyDescent="0.3">
      <c r="A62" s="1" t="s">
        <v>329</v>
      </c>
      <c r="B62" s="1" t="s">
        <v>327</v>
      </c>
      <c r="C62" s="1" t="s">
        <v>150</v>
      </c>
      <c r="D62" s="1" t="s">
        <v>41</v>
      </c>
      <c r="E62" s="2">
        <v>43254</v>
      </c>
      <c r="F62">
        <v>288</v>
      </c>
      <c r="G62">
        <v>15</v>
      </c>
      <c r="H62">
        <v>0.95</v>
      </c>
      <c r="I62" s="4">
        <v>151000</v>
      </c>
      <c r="J62" t="str">
        <f>_xlfn.XLOOKUP(Tabelle_Book_Edition[[#This Row],[book_id]],Award!A:A,Award!B:B,"",0)</f>
        <v/>
      </c>
      <c r="K62" t="str">
        <f>_xlfn.XLOOKUP(Tabelle_Book_Edition[[#This Row],[book_id]],Book!A:A,Book!C:C,"",0)</f>
        <v>KM451</v>
      </c>
      <c r="L62" t="str">
        <f>_xlfn.XLOOKUP(Tabelle_Book_Edition[[#This Row],[author_id]],Author!A:A,Author!B:B,"",0)</f>
        <v>Kim Martinez</v>
      </c>
      <c r="M62" s="1" t="str">
        <f>_xlfn.XLOOKUP(Tabelle_Book_Edition[[#This Row],[pub_id]],Publisher!A:A,Publisher!B:B,"",0)</f>
        <v>Sound &amp; Seas Co.</v>
      </c>
    </row>
    <row r="63" spans="1:13" x14ac:dyDescent="0.3">
      <c r="A63" s="1" t="s">
        <v>335</v>
      </c>
      <c r="B63" s="1" t="s">
        <v>330</v>
      </c>
      <c r="C63" s="1" t="s">
        <v>150</v>
      </c>
      <c r="D63" s="1" t="s">
        <v>49</v>
      </c>
      <c r="E63" s="2">
        <v>42909</v>
      </c>
      <c r="F63">
        <v>355</v>
      </c>
      <c r="G63">
        <v>8</v>
      </c>
      <c r="H63">
        <v>21.99</v>
      </c>
      <c r="I63" s="4">
        <v>151000</v>
      </c>
      <c r="J63" t="str">
        <f>_xlfn.XLOOKUP(Tabelle_Book_Edition[[#This Row],[book_id]],Award!A:A,Award!B:B,"",0)</f>
        <v>Young Reader's Choice Award</v>
      </c>
      <c r="K63" t="str">
        <f>_xlfn.XLOOKUP(Tabelle_Book_Edition[[#This Row],[book_id]],Book!A:A,Book!C:C,"",0)</f>
        <v>LA229</v>
      </c>
      <c r="L63" t="str">
        <f>_xlfn.XLOOKUP(Tabelle_Book_Edition[[#This Row],[author_id]],Author!A:A,Author!B:B,"",0)</f>
        <v>Lina Andersson</v>
      </c>
      <c r="M63" s="1" t="str">
        <f>_xlfn.XLOOKUP(Tabelle_Book_Edition[[#This Row],[pub_id]],Publisher!A:A,Publisher!B:B,"",0)</f>
        <v>Sound &amp; Seas Co.</v>
      </c>
    </row>
    <row r="64" spans="1:13" x14ac:dyDescent="0.3">
      <c r="A64" s="1" t="s">
        <v>341</v>
      </c>
      <c r="B64" s="1" t="s">
        <v>336</v>
      </c>
      <c r="C64" s="1" t="s">
        <v>64</v>
      </c>
      <c r="D64" s="1" t="s">
        <v>29</v>
      </c>
      <c r="E64" s="2">
        <v>44123</v>
      </c>
      <c r="F64">
        <v>399</v>
      </c>
      <c r="G64">
        <v>8</v>
      </c>
      <c r="H64">
        <v>28.99</v>
      </c>
      <c r="I64" s="4">
        <v>2320000</v>
      </c>
      <c r="J64" t="str">
        <f>_xlfn.XLOOKUP(Tabelle_Book_Edition[[#This Row],[book_id]],Award!A:A,Award!B:B,"",0)</f>
        <v>Man Booker</v>
      </c>
      <c r="K64" t="str">
        <f>_xlfn.XLOOKUP(Tabelle_Book_Edition[[#This Row],[book_id]],Book!A:A,Book!C:C,"",0)</f>
        <v>LH442</v>
      </c>
      <c r="L64" t="str">
        <f>_xlfn.XLOOKUP(Tabelle_Book_Edition[[#This Row],[author_id]],Author!A:A,Author!B:B,"",0)</f>
        <v>Laura Hayes</v>
      </c>
      <c r="M64" s="1" t="str">
        <f>_xlfn.XLOOKUP(Tabelle_Book_Edition[[#This Row],[pub_id]],Publisher!A:A,Publisher!B:B,"",0)</f>
        <v>Etaoin Shrdlu Press</v>
      </c>
    </row>
    <row r="65" spans="1:13" x14ac:dyDescent="0.3">
      <c r="A65" s="1" t="s">
        <v>346</v>
      </c>
      <c r="B65" s="1" t="s">
        <v>342</v>
      </c>
      <c r="C65" s="1" t="s">
        <v>30</v>
      </c>
      <c r="D65" s="1" t="s">
        <v>49</v>
      </c>
      <c r="E65" s="2">
        <v>44141</v>
      </c>
      <c r="F65">
        <v>318</v>
      </c>
      <c r="G65">
        <v>11</v>
      </c>
      <c r="H65">
        <v>22.99</v>
      </c>
      <c r="I65" s="4">
        <v>48000</v>
      </c>
      <c r="J65" t="str">
        <f>_xlfn.XLOOKUP(Tabelle_Book_Edition[[#This Row],[book_id]],Award!A:A,Award!B:B,"",0)</f>
        <v/>
      </c>
      <c r="K65" t="str">
        <f>_xlfn.XLOOKUP(Tabelle_Book_Edition[[#This Row],[book_id]],Book!A:A,Book!C:C,"",0)</f>
        <v>LJ500</v>
      </c>
      <c r="L65" t="str">
        <f>_xlfn.XLOOKUP(Tabelle_Book_Edition[[#This Row],[author_id]],Author!A:A,Author!B:B,"",0)</f>
        <v>Lisa Jenkins</v>
      </c>
      <c r="M65" s="1" t="str">
        <f>_xlfn.XLOOKUP(Tabelle_Book_Edition[[#This Row],[pub_id]],Publisher!A:A,Publisher!B:B,"",0)</f>
        <v>Palimpsest Printing</v>
      </c>
    </row>
    <row r="66" spans="1:13" x14ac:dyDescent="0.3">
      <c r="A66" s="1" t="s">
        <v>351</v>
      </c>
      <c r="B66" s="1" t="s">
        <v>347</v>
      </c>
      <c r="C66" s="1" t="s">
        <v>30</v>
      </c>
      <c r="D66" s="1" t="s">
        <v>41</v>
      </c>
      <c r="E66" s="2">
        <v>44077</v>
      </c>
      <c r="F66">
        <v>278</v>
      </c>
      <c r="G66">
        <v>20</v>
      </c>
      <c r="H66">
        <v>8.99</v>
      </c>
      <c r="I66" s="4">
        <v>48000</v>
      </c>
      <c r="J66" t="str">
        <f>_xlfn.XLOOKUP(Tabelle_Book_Edition[[#This Row],[book_id]],Award!A:A,Award!B:B,"",0)</f>
        <v>Hugo Award</v>
      </c>
      <c r="K66" t="str">
        <f>_xlfn.XLOOKUP(Tabelle_Book_Edition[[#This Row],[book_id]],Book!A:A,Book!C:C,"",0)</f>
        <v>LS812</v>
      </c>
      <c r="L66" t="str">
        <f>_xlfn.XLOOKUP(Tabelle_Book_Edition[[#This Row],[author_id]],Author!A:A,Author!B:B,"",0)</f>
        <v>Lucas Sinclair</v>
      </c>
      <c r="M66" s="1" t="str">
        <f>_xlfn.XLOOKUP(Tabelle_Book_Edition[[#This Row],[pub_id]],Publisher!A:A,Publisher!B:B,"",0)</f>
        <v>Palimpsest Printing</v>
      </c>
    </row>
    <row r="67" spans="1:13" x14ac:dyDescent="0.3">
      <c r="A67" s="1" t="s">
        <v>357</v>
      </c>
      <c r="B67" s="1" t="s">
        <v>352</v>
      </c>
      <c r="C67" s="1" t="s">
        <v>30</v>
      </c>
      <c r="D67" s="1" t="s">
        <v>49</v>
      </c>
      <c r="E67" s="2">
        <v>43599</v>
      </c>
      <c r="F67">
        <v>299</v>
      </c>
      <c r="G67">
        <v>11</v>
      </c>
      <c r="H67">
        <v>1.95</v>
      </c>
      <c r="I67" s="4">
        <v>48000</v>
      </c>
      <c r="J67" t="str">
        <f>_xlfn.XLOOKUP(Tabelle_Book_Edition[[#This Row],[book_id]],Award!A:A,Award!B:B,"",0)</f>
        <v/>
      </c>
      <c r="K67" t="str">
        <f>_xlfn.XLOOKUP(Tabelle_Book_Edition[[#This Row],[book_id]],Book!A:A,Book!C:C,"",0)</f>
        <v>LY300</v>
      </c>
      <c r="L67" t="str">
        <f>_xlfn.XLOOKUP(Tabelle_Book_Edition[[#This Row],[author_id]],Author!A:A,Author!B:B,"",0)</f>
        <v>Li Yan</v>
      </c>
      <c r="M67" s="1" t="str">
        <f>_xlfn.XLOOKUP(Tabelle_Book_Edition[[#This Row],[pub_id]],Publisher!A:A,Publisher!B:B,"",0)</f>
        <v>Palimpsest Printing</v>
      </c>
    </row>
    <row r="68" spans="1:13" x14ac:dyDescent="0.3">
      <c r="A68" s="1" t="s">
        <v>362</v>
      </c>
      <c r="B68" s="1" t="s">
        <v>358</v>
      </c>
      <c r="C68" s="1" t="s">
        <v>86</v>
      </c>
      <c r="D68" s="1" t="s">
        <v>49</v>
      </c>
      <c r="E68" s="2">
        <v>44131</v>
      </c>
      <c r="F68">
        <v>319</v>
      </c>
      <c r="G68">
        <v>10</v>
      </c>
      <c r="H68">
        <v>2.25</v>
      </c>
      <c r="I68" s="4">
        <v>72000</v>
      </c>
      <c r="J68" t="str">
        <f>_xlfn.XLOOKUP(Tabelle_Book_Edition[[#This Row],[book_id]],Award!A:A,Award!B:B,"",0)</f>
        <v/>
      </c>
      <c r="K68" t="str">
        <f>_xlfn.XLOOKUP(Tabelle_Book_Edition[[#This Row],[book_id]],Book!A:A,Book!C:C,"",0)</f>
        <v>MC333</v>
      </c>
      <c r="L68" t="str">
        <f>_xlfn.XLOOKUP(Tabelle_Book_Edition[[#This Row],[author_id]],Author!A:A,Author!B:B,"",0)</f>
        <v>Mariah Carey</v>
      </c>
      <c r="M68" s="1" t="str">
        <f>_xlfn.XLOOKUP(Tabelle_Book_Edition[[#This Row],[pub_id]],Publisher!A:A,Publisher!B:B,"",0)</f>
        <v>Cedar House Publishers</v>
      </c>
    </row>
    <row r="69" spans="1:13" x14ac:dyDescent="0.3">
      <c r="A69" s="1" t="s">
        <v>367</v>
      </c>
      <c r="B69" s="1" t="s">
        <v>363</v>
      </c>
      <c r="C69" s="1" t="s">
        <v>64</v>
      </c>
      <c r="D69" s="1" t="s">
        <v>29</v>
      </c>
      <c r="E69" s="2">
        <v>43665</v>
      </c>
      <c r="F69">
        <v>315</v>
      </c>
      <c r="G69">
        <v>6</v>
      </c>
      <c r="H69">
        <v>25.99</v>
      </c>
      <c r="I69" s="4">
        <v>2320000</v>
      </c>
      <c r="J69" t="str">
        <f>_xlfn.XLOOKUP(Tabelle_Book_Edition[[#This Row],[book_id]],Award!A:A,Award!B:B,"",0)</f>
        <v/>
      </c>
      <c r="K69" t="str">
        <f>_xlfn.XLOOKUP(Tabelle_Book_Edition[[#This Row],[book_id]],Book!A:A,Book!C:C,"",0)</f>
        <v>MG123</v>
      </c>
      <c r="L69" t="str">
        <f>_xlfn.XLOOKUP(Tabelle_Book_Edition[[#This Row],[author_id]],Author!A:A,Author!B:B,"",0)</f>
        <v>Matthew Green</v>
      </c>
      <c r="M69" s="1" t="str">
        <f>_xlfn.XLOOKUP(Tabelle_Book_Edition[[#This Row],[pub_id]],Publisher!A:A,Publisher!B:B,"",0)</f>
        <v>Etaoin Shrdlu Press</v>
      </c>
    </row>
    <row r="70" spans="1:13" x14ac:dyDescent="0.3">
      <c r="A70" s="1" t="s">
        <v>368</v>
      </c>
      <c r="B70" s="1" t="s">
        <v>363</v>
      </c>
      <c r="C70" s="1" t="s">
        <v>30</v>
      </c>
      <c r="D70" s="1" t="s">
        <v>41</v>
      </c>
      <c r="E70" s="2">
        <v>43225</v>
      </c>
      <c r="F70">
        <v>290</v>
      </c>
      <c r="G70">
        <v>14</v>
      </c>
      <c r="H70">
        <v>9.99</v>
      </c>
      <c r="I70" s="4">
        <v>48000</v>
      </c>
      <c r="J70" t="str">
        <f>_xlfn.XLOOKUP(Tabelle_Book_Edition[[#This Row],[book_id]],Award!A:A,Award!B:B,"",0)</f>
        <v/>
      </c>
      <c r="K70" t="str">
        <f>_xlfn.XLOOKUP(Tabelle_Book_Edition[[#This Row],[book_id]],Book!A:A,Book!C:C,"",0)</f>
        <v>MG123</v>
      </c>
      <c r="L70" t="str">
        <f>_xlfn.XLOOKUP(Tabelle_Book_Edition[[#This Row],[author_id]],Author!A:A,Author!B:B,"",0)</f>
        <v>Matthew Green</v>
      </c>
      <c r="M70" s="1" t="str">
        <f>_xlfn.XLOOKUP(Tabelle_Book_Edition[[#This Row],[pub_id]],Publisher!A:A,Publisher!B:B,"",0)</f>
        <v>Palimpsest Printing</v>
      </c>
    </row>
    <row r="71" spans="1:13" x14ac:dyDescent="0.3">
      <c r="A71" s="1" t="s">
        <v>373</v>
      </c>
      <c r="B71" s="1" t="s">
        <v>369</v>
      </c>
      <c r="C71" s="1" t="s">
        <v>30</v>
      </c>
      <c r="D71" s="1" t="s">
        <v>29</v>
      </c>
      <c r="E71" s="2">
        <v>43503</v>
      </c>
      <c r="F71">
        <v>389</v>
      </c>
      <c r="G71">
        <v>10</v>
      </c>
      <c r="H71">
        <v>27.99</v>
      </c>
      <c r="I71" s="4">
        <v>48000</v>
      </c>
      <c r="J71" t="str">
        <f>_xlfn.XLOOKUP(Tabelle_Book_Edition[[#This Row],[book_id]],Award!A:A,Award!B:B,"",0)</f>
        <v>Pulitzer</v>
      </c>
      <c r="K71" t="str">
        <f>_xlfn.XLOOKUP(Tabelle_Book_Edition[[#This Row],[book_id]],Book!A:A,Book!C:C,"",0)</f>
        <v>MG888</v>
      </c>
      <c r="L71" t="str">
        <f>_xlfn.XLOOKUP(Tabelle_Book_Edition[[#This Row],[author_id]],Author!A:A,Author!B:B,"",0)</f>
        <v>Mary Green</v>
      </c>
      <c r="M71" s="1" t="str">
        <f>_xlfn.XLOOKUP(Tabelle_Book_Edition[[#This Row],[pub_id]],Publisher!A:A,Publisher!B:B,"",0)</f>
        <v>Palimpsest Printing</v>
      </c>
    </row>
    <row r="72" spans="1:13" x14ac:dyDescent="0.3">
      <c r="A72" s="1" t="s">
        <v>376</v>
      </c>
      <c r="B72" s="1" t="s">
        <v>374</v>
      </c>
      <c r="C72" s="1" t="s">
        <v>30</v>
      </c>
      <c r="D72" s="1" t="s">
        <v>41</v>
      </c>
      <c r="E72" s="2">
        <v>43951</v>
      </c>
      <c r="F72">
        <v>299</v>
      </c>
      <c r="G72">
        <v>16</v>
      </c>
      <c r="H72">
        <v>0.85</v>
      </c>
      <c r="I72" s="4">
        <v>48000</v>
      </c>
      <c r="J72" t="str">
        <f>_xlfn.XLOOKUP(Tabelle_Book_Edition[[#This Row],[book_id]],Award!A:A,Award!B:B,"",0)</f>
        <v/>
      </c>
      <c r="K72" t="str">
        <f>_xlfn.XLOOKUP(Tabelle_Book_Edition[[#This Row],[book_id]],Book!A:A,Book!C:C,"",0)</f>
        <v>MG888</v>
      </c>
      <c r="L72" t="str">
        <f>_xlfn.XLOOKUP(Tabelle_Book_Edition[[#This Row],[author_id]],Author!A:A,Author!B:B,"",0)</f>
        <v>Mary Green</v>
      </c>
      <c r="M72" s="1" t="str">
        <f>_xlfn.XLOOKUP(Tabelle_Book_Edition[[#This Row],[pub_id]],Publisher!A:A,Publisher!B:B,"",0)</f>
        <v>Palimpsest Printing</v>
      </c>
    </row>
    <row r="73" spans="1:13" x14ac:dyDescent="0.3">
      <c r="A73" s="1" t="s">
        <v>381</v>
      </c>
      <c r="B73" s="1" t="s">
        <v>377</v>
      </c>
      <c r="C73" s="1" t="s">
        <v>86</v>
      </c>
      <c r="D73" s="1" t="s">
        <v>49</v>
      </c>
      <c r="E73" s="2">
        <v>43907</v>
      </c>
      <c r="F73">
        <v>312</v>
      </c>
      <c r="G73">
        <v>9</v>
      </c>
      <c r="H73">
        <v>22.99</v>
      </c>
      <c r="I73" s="4">
        <v>72000</v>
      </c>
      <c r="J73" t="str">
        <f>_xlfn.XLOOKUP(Tabelle_Book_Edition[[#This Row],[book_id]],Award!A:A,Award!B:B,"",0)</f>
        <v/>
      </c>
      <c r="K73" t="str">
        <f>_xlfn.XLOOKUP(Tabelle_Book_Edition[[#This Row],[book_id]],Book!A:A,Book!C:C,"",0)</f>
        <v>MK300</v>
      </c>
      <c r="L73" t="str">
        <f>_xlfn.XLOOKUP(Tabelle_Book_Edition[[#This Row],[author_id]],Author!A:A,Author!B:B,"",0)</f>
        <v>Masashi Kishimoto</v>
      </c>
      <c r="M73" s="1" t="str">
        <f>_xlfn.XLOOKUP(Tabelle_Book_Edition[[#This Row],[pub_id]],Publisher!A:A,Publisher!B:B,"",0)</f>
        <v>Cedar House Publishers</v>
      </c>
    </row>
    <row r="74" spans="1:13" x14ac:dyDescent="0.3">
      <c r="A74" s="1" t="s">
        <v>387</v>
      </c>
      <c r="B74" s="1" t="s">
        <v>382</v>
      </c>
      <c r="C74" s="1" t="s">
        <v>64</v>
      </c>
      <c r="D74" s="1" t="s">
        <v>49</v>
      </c>
      <c r="E74" s="2">
        <v>43594</v>
      </c>
      <c r="F74">
        <v>390</v>
      </c>
      <c r="G74">
        <v>15</v>
      </c>
      <c r="H74">
        <v>21.99</v>
      </c>
      <c r="I74" s="4">
        <v>2320000</v>
      </c>
      <c r="J74" t="str">
        <f>_xlfn.XLOOKUP(Tabelle_Book_Edition[[#This Row],[book_id]],Award!A:A,Award!B:B,"",0)</f>
        <v>Agatha Award</v>
      </c>
      <c r="K74" t="str">
        <f>_xlfn.XLOOKUP(Tabelle_Book_Edition[[#This Row],[book_id]],Book!A:A,Book!C:C,"",0)</f>
        <v>MP235</v>
      </c>
      <c r="L74" t="str">
        <f>_xlfn.XLOOKUP(Tabelle_Book_Edition[[#This Row],[author_id]],Author!A:A,Author!B:B,"",0)</f>
        <v>Michael Peterson</v>
      </c>
      <c r="M74" s="1" t="str">
        <f>_xlfn.XLOOKUP(Tabelle_Book_Edition[[#This Row],[pub_id]],Publisher!A:A,Publisher!B:B,"",0)</f>
        <v>Etaoin Shrdlu Press</v>
      </c>
    </row>
    <row r="75" spans="1:13" x14ac:dyDescent="0.3">
      <c r="A75" s="1" t="s">
        <v>388</v>
      </c>
      <c r="B75" s="1" t="s">
        <v>382</v>
      </c>
      <c r="C75" s="1" t="s">
        <v>30</v>
      </c>
      <c r="D75" s="1" t="s">
        <v>29</v>
      </c>
      <c r="E75" s="2">
        <v>43152</v>
      </c>
      <c r="F75">
        <v>384</v>
      </c>
      <c r="G75">
        <v>10</v>
      </c>
      <c r="H75">
        <v>29.99</v>
      </c>
      <c r="I75" s="4">
        <v>48000</v>
      </c>
      <c r="J75" t="str">
        <f>_xlfn.XLOOKUP(Tabelle_Book_Edition[[#This Row],[book_id]],Award!A:A,Award!B:B,"",0)</f>
        <v>Agatha Award</v>
      </c>
      <c r="K75" t="str">
        <f>_xlfn.XLOOKUP(Tabelle_Book_Edition[[#This Row],[book_id]],Book!A:A,Book!C:C,"",0)</f>
        <v>MP235</v>
      </c>
      <c r="L75" t="str">
        <f>_xlfn.XLOOKUP(Tabelle_Book_Edition[[#This Row],[author_id]],Author!A:A,Author!B:B,"",0)</f>
        <v>Michael Peterson</v>
      </c>
      <c r="M75" s="1" t="str">
        <f>_xlfn.XLOOKUP(Tabelle_Book_Edition[[#This Row],[pub_id]],Publisher!A:A,Publisher!B:B,"",0)</f>
        <v>Palimpsest Printing</v>
      </c>
    </row>
    <row r="76" spans="1:13" x14ac:dyDescent="0.3">
      <c r="A76" s="1" t="s">
        <v>397</v>
      </c>
      <c r="B76" s="1" t="s">
        <v>393</v>
      </c>
      <c r="C76" s="1" t="s">
        <v>30</v>
      </c>
      <c r="D76" s="1" t="s">
        <v>49</v>
      </c>
      <c r="E76" s="2">
        <v>43736</v>
      </c>
      <c r="F76">
        <v>376</v>
      </c>
      <c r="G76">
        <v>9</v>
      </c>
      <c r="H76">
        <v>23.99</v>
      </c>
      <c r="I76" s="4">
        <v>48000</v>
      </c>
      <c r="J76" t="str">
        <f>_xlfn.XLOOKUP(Tabelle_Book_Edition[[#This Row],[book_id]],Award!A:A,Award!B:B,"",0)</f>
        <v/>
      </c>
      <c r="K76" t="str">
        <f>_xlfn.XLOOKUP(Tabelle_Book_Edition[[#This Row],[book_id]],Book!A:A,Book!C:C,"",0)</f>
        <v>ND433</v>
      </c>
      <c r="L76" t="str">
        <f>_xlfn.XLOOKUP(Tabelle_Book_Edition[[#This Row],[author_id]],Author!A:A,Author!B:B,"",0)</f>
        <v>Noah Delgado</v>
      </c>
      <c r="M76" s="1" t="str">
        <f>_xlfn.XLOOKUP(Tabelle_Book_Edition[[#This Row],[pub_id]],Publisher!A:A,Publisher!B:B,"",0)</f>
        <v>Palimpsest Printing</v>
      </c>
    </row>
    <row r="77" spans="1:13" x14ac:dyDescent="0.3">
      <c r="A77" s="1" t="s">
        <v>403</v>
      </c>
      <c r="B77" s="1" t="s">
        <v>398</v>
      </c>
      <c r="C77" s="1" t="s">
        <v>30</v>
      </c>
      <c r="D77" s="1" t="s">
        <v>49</v>
      </c>
      <c r="E77" s="2">
        <v>43080</v>
      </c>
      <c r="F77">
        <v>310</v>
      </c>
      <c r="G77">
        <v>5</v>
      </c>
      <c r="H77">
        <v>19.989999999999998</v>
      </c>
      <c r="I77" s="4">
        <v>48000</v>
      </c>
      <c r="J77" t="str">
        <f>_xlfn.XLOOKUP(Tabelle_Book_Edition[[#This Row],[book_id]],Award!A:A,Award!B:B,"",0)</f>
        <v>National Book Award</v>
      </c>
      <c r="K77" t="str">
        <f>_xlfn.XLOOKUP(Tabelle_Book_Edition[[#This Row],[book_id]],Book!A:A,Book!C:C,"",0)</f>
        <v>ND509</v>
      </c>
      <c r="L77" t="str">
        <f>_xlfn.XLOOKUP(Tabelle_Book_Edition[[#This Row],[author_id]],Author!A:A,Author!B:B,"",0)</f>
        <v>Nadia Dimitrov</v>
      </c>
      <c r="M77" s="1" t="str">
        <f>_xlfn.XLOOKUP(Tabelle_Book_Edition[[#This Row],[pub_id]],Publisher!A:A,Publisher!B:B,"",0)</f>
        <v>Palimpsest Printing</v>
      </c>
    </row>
    <row r="78" spans="1:13" x14ac:dyDescent="0.3">
      <c r="A78" s="1" t="s">
        <v>408</v>
      </c>
      <c r="B78" s="1" t="s">
        <v>404</v>
      </c>
      <c r="C78" s="1" t="s">
        <v>86</v>
      </c>
      <c r="D78" s="1" t="s">
        <v>41</v>
      </c>
      <c r="E78" s="2">
        <v>42985</v>
      </c>
      <c r="F78">
        <v>288</v>
      </c>
      <c r="G78">
        <v>17</v>
      </c>
      <c r="H78">
        <v>0.95</v>
      </c>
      <c r="I78" s="4">
        <v>72000</v>
      </c>
      <c r="J78" t="str">
        <f>_xlfn.XLOOKUP(Tabelle_Book_Edition[[#This Row],[book_id]],Award!A:A,Award!B:B,"",0)</f>
        <v/>
      </c>
      <c r="K78" t="str">
        <f>_xlfn.XLOOKUP(Tabelle_Book_Edition[[#This Row],[book_id]],Book!A:A,Book!C:C,"",0)</f>
        <v>ND987</v>
      </c>
      <c r="L78" t="str">
        <f>_xlfn.XLOOKUP(Tabelle_Book_Edition[[#This Row],[author_id]],Author!A:A,Author!B:B,"",0)</f>
        <v>Nina Dobrev</v>
      </c>
      <c r="M78" s="1" t="str">
        <f>_xlfn.XLOOKUP(Tabelle_Book_Edition[[#This Row],[pub_id]],Publisher!A:A,Publisher!B:B,"",0)</f>
        <v>Cedar House Publishers</v>
      </c>
    </row>
    <row r="79" spans="1:13" x14ac:dyDescent="0.3">
      <c r="A79" s="1" t="s">
        <v>413</v>
      </c>
      <c r="B79" s="1" t="s">
        <v>409</v>
      </c>
      <c r="C79" s="1" t="s">
        <v>30</v>
      </c>
      <c r="D79" s="1" t="s">
        <v>49</v>
      </c>
      <c r="E79" s="2">
        <v>42816</v>
      </c>
      <c r="F79">
        <v>312</v>
      </c>
      <c r="G79">
        <v>9</v>
      </c>
      <c r="H79">
        <v>21.99</v>
      </c>
      <c r="I79" s="4">
        <v>48000</v>
      </c>
      <c r="J79" t="str">
        <f>_xlfn.XLOOKUP(Tabelle_Book_Edition[[#This Row],[book_id]],Award!A:A,Award!B:B,"",0)</f>
        <v/>
      </c>
      <c r="K79" t="str">
        <f>_xlfn.XLOOKUP(Tabelle_Book_Edition[[#This Row],[book_id]],Book!A:A,Book!C:C,"",0)</f>
        <v>NR456</v>
      </c>
      <c r="L79" t="str">
        <f>_xlfn.XLOOKUP(Tabelle_Book_Edition[[#This Row],[author_id]],Author!A:A,Author!B:B,"",0)</f>
        <v>Naomi Richards</v>
      </c>
      <c r="M79" s="1" t="str">
        <f>_xlfn.XLOOKUP(Tabelle_Book_Edition[[#This Row],[pub_id]],Publisher!A:A,Publisher!B:B,"",0)</f>
        <v>Palimpsest Printing</v>
      </c>
    </row>
    <row r="80" spans="1:13" x14ac:dyDescent="0.3">
      <c r="A80" s="1" t="s">
        <v>419</v>
      </c>
      <c r="B80" s="1" t="s">
        <v>414</v>
      </c>
      <c r="C80" s="1" t="s">
        <v>64</v>
      </c>
      <c r="D80" s="1" t="s">
        <v>29</v>
      </c>
      <c r="E80" s="2">
        <v>43935</v>
      </c>
      <c r="F80">
        <v>398</v>
      </c>
      <c r="G80">
        <v>7</v>
      </c>
      <c r="H80">
        <v>2.85</v>
      </c>
      <c r="I80" s="4">
        <v>2320000</v>
      </c>
      <c r="J80" t="str">
        <f>_xlfn.XLOOKUP(Tabelle_Book_Edition[[#This Row],[book_id]],Award!A:A,Award!B:B,"",0)</f>
        <v>RITA Award</v>
      </c>
      <c r="K80" t="str">
        <f>_xlfn.XLOOKUP(Tabelle_Book_Edition[[#This Row],[book_id]],Book!A:A,Book!C:C,"",0)</f>
        <v>NT754</v>
      </c>
      <c r="L80" t="str">
        <f>_xlfn.XLOOKUP(Tabelle_Book_Edition[[#This Row],[author_id]],Author!A:A,Author!B:B,"",0)</f>
        <v>Nathaniel Turner</v>
      </c>
      <c r="M80" s="1" t="str">
        <f>_xlfn.XLOOKUP(Tabelle_Book_Edition[[#This Row],[pub_id]],Publisher!A:A,Publisher!B:B,"",0)</f>
        <v>Etaoin Shrdlu Press</v>
      </c>
    </row>
    <row r="81" spans="1:13" x14ac:dyDescent="0.3">
      <c r="A81" s="1" t="s">
        <v>425</v>
      </c>
      <c r="B81" s="1" t="s">
        <v>420</v>
      </c>
      <c r="C81" s="1" t="s">
        <v>86</v>
      </c>
      <c r="D81" s="1" t="s">
        <v>49</v>
      </c>
      <c r="E81" s="2">
        <v>43628</v>
      </c>
      <c r="F81">
        <v>312</v>
      </c>
      <c r="G81">
        <v>7</v>
      </c>
      <c r="H81">
        <v>1.95</v>
      </c>
      <c r="I81" s="4">
        <v>72000</v>
      </c>
      <c r="J81" t="str">
        <f>_xlfn.XLOOKUP(Tabelle_Book_Edition[[#This Row],[book_id]],Award!A:A,Award!B:B,"",0)</f>
        <v>PEN/Faulkner Award</v>
      </c>
      <c r="K81" t="str">
        <f>_xlfn.XLOOKUP(Tabelle_Book_Edition[[#This Row],[book_id]],Book!A:A,Book!C:C,"",0)</f>
        <v>OB678</v>
      </c>
      <c r="L81" t="str">
        <f>_xlfn.XLOOKUP(Tabelle_Book_Edition[[#This Row],[author_id]],Author!A:A,Author!B:B,"",0)</f>
        <v>Oliver Brown</v>
      </c>
      <c r="M81" s="1" t="str">
        <f>_xlfn.XLOOKUP(Tabelle_Book_Edition[[#This Row],[pub_id]],Publisher!A:A,Publisher!B:B,"",0)</f>
        <v>Cedar House Publishers</v>
      </c>
    </row>
    <row r="82" spans="1:13" x14ac:dyDescent="0.3">
      <c r="A82" s="1" t="s">
        <v>430</v>
      </c>
      <c r="B82" s="1" t="s">
        <v>426</v>
      </c>
      <c r="C82" s="1" t="s">
        <v>64</v>
      </c>
      <c r="D82" s="1" t="s">
        <v>29</v>
      </c>
      <c r="E82" s="2">
        <v>43695</v>
      </c>
      <c r="F82">
        <v>355</v>
      </c>
      <c r="G82">
        <v>5</v>
      </c>
      <c r="H82">
        <v>27.99</v>
      </c>
      <c r="I82" s="4">
        <v>2320000</v>
      </c>
      <c r="J82" t="str">
        <f>_xlfn.XLOOKUP(Tabelle_Book_Edition[[#This Row],[book_id]],Award!A:A,Award!B:B,"",0)</f>
        <v/>
      </c>
      <c r="K82" t="str">
        <f>_xlfn.XLOOKUP(Tabelle_Book_Edition[[#This Row],[book_id]],Book!A:A,Book!C:C,"",0)</f>
        <v>RA000</v>
      </c>
      <c r="L82" t="str">
        <f>_xlfn.XLOOKUP(Tabelle_Book_Edition[[#This Row],[author_id]],Author!A:A,Author!B:B,"",0)</f>
        <v>Rick Astley</v>
      </c>
      <c r="M82" s="1" t="str">
        <f>_xlfn.XLOOKUP(Tabelle_Book_Edition[[#This Row],[pub_id]],Publisher!A:A,Publisher!B:B,"",0)</f>
        <v>Etaoin Shrdlu Press</v>
      </c>
    </row>
    <row r="83" spans="1:13" x14ac:dyDescent="0.3">
      <c r="A83" s="1" t="s">
        <v>435</v>
      </c>
      <c r="B83" s="1" t="s">
        <v>431</v>
      </c>
      <c r="C83" s="1" t="s">
        <v>64</v>
      </c>
      <c r="D83" s="1" t="s">
        <v>41</v>
      </c>
      <c r="E83" s="2">
        <v>43483</v>
      </c>
      <c r="F83">
        <v>290</v>
      </c>
      <c r="G83">
        <v>20</v>
      </c>
      <c r="H83">
        <v>8.99</v>
      </c>
      <c r="I83" s="4">
        <v>2320000</v>
      </c>
      <c r="J83" t="str">
        <f>_xlfn.XLOOKUP(Tabelle_Book_Edition[[#This Row],[book_id]],Award!A:A,Award!B:B,"",0)</f>
        <v/>
      </c>
      <c r="K83" t="str">
        <f>_xlfn.XLOOKUP(Tabelle_Book_Edition[[#This Row],[book_id]],Book!A:A,Book!C:C,"",0)</f>
        <v>RF090</v>
      </c>
      <c r="L83" t="str">
        <f>_xlfn.XLOOKUP(Tabelle_Book_Edition[[#This Row],[author_id]],Author!A:A,Author!B:B,"",0)</f>
        <v>Rachel Fisher</v>
      </c>
      <c r="M83" s="1" t="str">
        <f>_xlfn.XLOOKUP(Tabelle_Book_Edition[[#This Row],[pub_id]],Publisher!A:A,Publisher!B:B,"",0)</f>
        <v>Etaoin Shrdlu Press</v>
      </c>
    </row>
    <row r="84" spans="1:13" x14ac:dyDescent="0.3">
      <c r="A84" s="1" t="s">
        <v>440</v>
      </c>
      <c r="B84" s="1" t="s">
        <v>436</v>
      </c>
      <c r="C84" s="1" t="s">
        <v>64</v>
      </c>
      <c r="D84" s="1" t="s">
        <v>29</v>
      </c>
      <c r="E84" s="2">
        <v>43146</v>
      </c>
      <c r="F84">
        <v>388</v>
      </c>
      <c r="G84">
        <v>10</v>
      </c>
      <c r="H84">
        <v>27.99</v>
      </c>
      <c r="I84" s="4">
        <v>2320000</v>
      </c>
      <c r="J84" t="str">
        <f>_xlfn.XLOOKUP(Tabelle_Book_Edition[[#This Row],[book_id]],Award!A:A,Award!B:B,"",0)</f>
        <v/>
      </c>
      <c r="K84" t="str">
        <f>_xlfn.XLOOKUP(Tabelle_Book_Edition[[#This Row],[book_id]],Book!A:A,Book!C:C,"",0)</f>
        <v>RH898</v>
      </c>
      <c r="L84" t="str">
        <f>_xlfn.XLOOKUP(Tabelle_Book_Edition[[#This Row],[author_id]],Author!A:A,Author!B:B,"",0)</f>
        <v>Richard Hunt</v>
      </c>
      <c r="M84" s="1" t="str">
        <f>_xlfn.XLOOKUP(Tabelle_Book_Edition[[#This Row],[pub_id]],Publisher!A:A,Publisher!B:B,"",0)</f>
        <v>Etaoin Shrdlu Press</v>
      </c>
    </row>
    <row r="85" spans="1:13" x14ac:dyDescent="0.3">
      <c r="A85" s="1" t="s">
        <v>445</v>
      </c>
      <c r="B85" s="1" t="s">
        <v>441</v>
      </c>
      <c r="C85" s="1" t="s">
        <v>64</v>
      </c>
      <c r="D85" s="1" t="s">
        <v>41</v>
      </c>
      <c r="E85" s="2">
        <v>44129</v>
      </c>
      <c r="F85">
        <v>258</v>
      </c>
      <c r="G85">
        <v>20</v>
      </c>
      <c r="H85">
        <v>9.99</v>
      </c>
      <c r="I85" s="4">
        <v>2320000</v>
      </c>
      <c r="J85" t="str">
        <f>_xlfn.XLOOKUP(Tabelle_Book_Edition[[#This Row],[book_id]],Award!A:A,Award!B:B,"",0)</f>
        <v>Caldecott Medal</v>
      </c>
      <c r="K85" t="str">
        <f>_xlfn.XLOOKUP(Tabelle_Book_Edition[[#This Row],[book_id]],Book!A:A,Book!C:C,"",0)</f>
        <v>RM213</v>
      </c>
      <c r="L85" t="str">
        <f>_xlfn.XLOOKUP(Tabelle_Book_Edition[[#This Row],[author_id]],Author!A:A,Author!B:B,"",0)</f>
        <v>Rebecca Miller</v>
      </c>
      <c r="M85" s="1" t="str">
        <f>_xlfn.XLOOKUP(Tabelle_Book_Edition[[#This Row],[pub_id]],Publisher!A:A,Publisher!B:B,"",0)</f>
        <v>Etaoin Shrdlu Press</v>
      </c>
    </row>
    <row r="86" spans="1:13" x14ac:dyDescent="0.3">
      <c r="A86" s="1" t="s">
        <v>450</v>
      </c>
      <c r="B86" s="1" t="s">
        <v>446</v>
      </c>
      <c r="C86" s="1" t="s">
        <v>64</v>
      </c>
      <c r="D86" s="1" t="s">
        <v>49</v>
      </c>
      <c r="E86" s="2">
        <v>42954</v>
      </c>
      <c r="F86">
        <v>299</v>
      </c>
      <c r="G86">
        <v>12</v>
      </c>
      <c r="H86">
        <v>20.99</v>
      </c>
      <c r="I86" s="4">
        <v>2320000</v>
      </c>
      <c r="J86" t="str">
        <f>_xlfn.XLOOKUP(Tabelle_Book_Edition[[#This Row],[book_id]],Award!A:A,Award!B:B,"",0)</f>
        <v/>
      </c>
      <c r="K86" t="str">
        <f>_xlfn.XLOOKUP(Tabelle_Book_Edition[[#This Row],[book_id]],Book!A:A,Book!C:C,"",0)</f>
        <v>SC109</v>
      </c>
      <c r="L86" t="str">
        <f>_xlfn.XLOOKUP(Tabelle_Book_Edition[[#This Row],[author_id]],Author!A:A,Author!B:B,"",0)</f>
        <v>Sofia Cruz</v>
      </c>
      <c r="M86" s="1" t="str">
        <f>_xlfn.XLOOKUP(Tabelle_Book_Edition[[#This Row],[pub_id]],Publisher!A:A,Publisher!B:B,"",0)</f>
        <v>Etaoin Shrdlu Press</v>
      </c>
    </row>
    <row r="87" spans="1:13" x14ac:dyDescent="0.3">
      <c r="A87" s="1" t="s">
        <v>455</v>
      </c>
      <c r="B87" s="1" t="s">
        <v>451</v>
      </c>
      <c r="C87" s="1" t="s">
        <v>64</v>
      </c>
      <c r="D87" s="1" t="s">
        <v>29</v>
      </c>
      <c r="E87" s="2">
        <v>43469</v>
      </c>
      <c r="F87">
        <v>287</v>
      </c>
      <c r="G87">
        <v>7</v>
      </c>
      <c r="H87">
        <v>26.99</v>
      </c>
      <c r="I87" s="4">
        <v>2320000</v>
      </c>
      <c r="J87" t="str">
        <f>_xlfn.XLOOKUP(Tabelle_Book_Edition[[#This Row],[book_id]],Award!A:A,Award!B:B,"",0)</f>
        <v>PEN/Faulkner Award</v>
      </c>
      <c r="K87" t="str">
        <f>_xlfn.XLOOKUP(Tabelle_Book_Edition[[#This Row],[book_id]],Book!A:A,Book!C:C,"",0)</f>
        <v>SH754</v>
      </c>
      <c r="L87" t="str">
        <f>_xlfn.XLOOKUP(Tabelle_Book_Edition[[#This Row],[author_id]],Author!A:A,Author!B:B,"",0)</f>
        <v>Samuel Hughes</v>
      </c>
      <c r="M87" s="1" t="str">
        <f>_xlfn.XLOOKUP(Tabelle_Book_Edition[[#This Row],[pub_id]],Publisher!A:A,Publisher!B:B,"",0)</f>
        <v>Etaoin Shrdlu Press</v>
      </c>
    </row>
    <row r="88" spans="1:13" x14ac:dyDescent="0.3">
      <c r="A88" s="1" t="s">
        <v>458</v>
      </c>
      <c r="B88" s="1" t="s">
        <v>456</v>
      </c>
      <c r="C88" s="1" t="s">
        <v>30</v>
      </c>
      <c r="D88" s="1" t="s">
        <v>49</v>
      </c>
      <c r="E88" s="2">
        <v>43490</v>
      </c>
      <c r="F88">
        <v>345</v>
      </c>
      <c r="G88">
        <v>9</v>
      </c>
      <c r="H88">
        <v>23.99</v>
      </c>
      <c r="I88" s="4">
        <v>48000</v>
      </c>
      <c r="J88" t="str">
        <f>_xlfn.XLOOKUP(Tabelle_Book_Edition[[#This Row],[book_id]],Award!A:A,Award!B:B,"",0)</f>
        <v/>
      </c>
      <c r="K88" t="str">
        <f>_xlfn.XLOOKUP(Tabelle_Book_Edition[[#This Row],[book_id]],Book!A:A,Book!C:C,"",0)</f>
        <v>SH754</v>
      </c>
      <c r="L88" t="str">
        <f>_xlfn.XLOOKUP(Tabelle_Book_Edition[[#This Row],[author_id]],Author!A:A,Author!B:B,"",0)</f>
        <v>Samuel Hughes</v>
      </c>
      <c r="M88" s="1" t="str">
        <f>_xlfn.XLOOKUP(Tabelle_Book_Edition[[#This Row],[pub_id]],Publisher!A:A,Publisher!B:B,"",0)</f>
        <v>Palimpsest Printing</v>
      </c>
    </row>
    <row r="89" spans="1:13" x14ac:dyDescent="0.3">
      <c r="A89" s="1" t="s">
        <v>459</v>
      </c>
      <c r="B89" s="1" t="s">
        <v>456</v>
      </c>
      <c r="C89" s="1" t="s">
        <v>64</v>
      </c>
      <c r="D89" s="1" t="s">
        <v>29</v>
      </c>
      <c r="E89" s="2">
        <v>43052</v>
      </c>
      <c r="F89">
        <v>370</v>
      </c>
      <c r="G89">
        <v>5</v>
      </c>
      <c r="H89">
        <v>27.99</v>
      </c>
      <c r="I89" s="4">
        <v>2320000</v>
      </c>
      <c r="J89" t="str">
        <f>_xlfn.XLOOKUP(Tabelle_Book_Edition[[#This Row],[book_id]],Award!A:A,Award!B:B,"",0)</f>
        <v/>
      </c>
      <c r="K89" t="str">
        <f>_xlfn.XLOOKUP(Tabelle_Book_Edition[[#This Row],[book_id]],Book!A:A,Book!C:C,"",0)</f>
        <v>SH754</v>
      </c>
      <c r="L89" t="str">
        <f>_xlfn.XLOOKUP(Tabelle_Book_Edition[[#This Row],[author_id]],Author!A:A,Author!B:B,"",0)</f>
        <v>Samuel Hughes</v>
      </c>
      <c r="M89" s="1" t="str">
        <f>_xlfn.XLOOKUP(Tabelle_Book_Edition[[#This Row],[pub_id]],Publisher!A:A,Publisher!B:B,"",0)</f>
        <v>Etaoin Shrdlu Press</v>
      </c>
    </row>
    <row r="90" spans="1:13" x14ac:dyDescent="0.3">
      <c r="A90" s="1" t="s">
        <v>464</v>
      </c>
      <c r="B90" s="1" t="s">
        <v>460</v>
      </c>
      <c r="C90" s="1" t="s">
        <v>64</v>
      </c>
      <c r="D90" s="1" t="s">
        <v>29</v>
      </c>
      <c r="E90" s="2">
        <v>43599</v>
      </c>
      <c r="F90">
        <v>325</v>
      </c>
      <c r="G90">
        <v>6</v>
      </c>
      <c r="H90">
        <v>2.5499999999999998</v>
      </c>
      <c r="I90" s="4">
        <v>2320000</v>
      </c>
      <c r="J90" t="str">
        <f>_xlfn.XLOOKUP(Tabelle_Book_Edition[[#This Row],[book_id]],Award!A:A,Award!B:B,"",0)</f>
        <v/>
      </c>
      <c r="K90" t="str">
        <f>_xlfn.XLOOKUP(Tabelle_Book_Edition[[#This Row],[book_id]],Book!A:A,Book!C:C,"",0)</f>
        <v>SK654</v>
      </c>
      <c r="L90" t="str">
        <f>_xlfn.XLOOKUP(Tabelle_Book_Edition[[#This Row],[author_id]],Author!A:A,Author!B:B,"",0)</f>
        <v>Shigeru Kato</v>
      </c>
      <c r="M90" s="1" t="str">
        <f>_xlfn.XLOOKUP(Tabelle_Book_Edition[[#This Row],[pub_id]],Publisher!A:A,Publisher!B:B,"",0)</f>
        <v>Etaoin Shrdlu Press</v>
      </c>
    </row>
    <row r="91" spans="1:13" x14ac:dyDescent="0.3">
      <c r="A91" s="1" t="s">
        <v>469</v>
      </c>
      <c r="B91" s="1" t="s">
        <v>465</v>
      </c>
      <c r="C91" s="1" t="s">
        <v>64</v>
      </c>
      <c r="D91" s="1" t="s">
        <v>29</v>
      </c>
      <c r="E91" s="2">
        <v>43692</v>
      </c>
      <c r="F91">
        <v>355</v>
      </c>
      <c r="G91">
        <v>6</v>
      </c>
      <c r="H91">
        <v>27.99</v>
      </c>
      <c r="I91" s="4">
        <v>2320000</v>
      </c>
      <c r="J91" t="str">
        <f>_xlfn.XLOOKUP(Tabelle_Book_Edition[[#This Row],[book_id]],Award!A:A,Award!B:B,"",0)</f>
        <v/>
      </c>
      <c r="K91" t="str">
        <f>_xlfn.XLOOKUP(Tabelle_Book_Edition[[#This Row],[book_id]],Book!A:A,Book!C:C,"",0)</f>
        <v>SL801</v>
      </c>
      <c r="L91" t="str">
        <f>_xlfn.XLOOKUP(Tabelle_Book_Edition[[#This Row],[author_id]],Author!A:A,Author!B:B,"",0)</f>
        <v>Samantha Lee</v>
      </c>
      <c r="M91" s="1" t="str">
        <f>_xlfn.XLOOKUP(Tabelle_Book_Edition[[#This Row],[pub_id]],Publisher!A:A,Publisher!B:B,"",0)</f>
        <v>Etaoin Shrdlu Press</v>
      </c>
    </row>
    <row r="92" spans="1:13" x14ac:dyDescent="0.3">
      <c r="A92" s="1" t="s">
        <v>474</v>
      </c>
      <c r="B92" s="1" t="s">
        <v>470</v>
      </c>
      <c r="C92" s="1" t="s">
        <v>30</v>
      </c>
      <c r="D92" s="1" t="s">
        <v>29</v>
      </c>
      <c r="E92" s="2">
        <v>43157</v>
      </c>
      <c r="F92">
        <v>372</v>
      </c>
      <c r="G92">
        <v>9</v>
      </c>
      <c r="H92">
        <v>28.99</v>
      </c>
      <c r="I92" s="4">
        <v>48000</v>
      </c>
      <c r="J92" t="str">
        <f>_xlfn.XLOOKUP(Tabelle_Book_Edition[[#This Row],[book_id]],Award!A:A,Award!B:B,"",0)</f>
        <v/>
      </c>
      <c r="K92" t="str">
        <f>_xlfn.XLOOKUP(Tabelle_Book_Edition[[#This Row],[book_id]],Book!A:A,Book!C:C,"",0)</f>
        <v>SM101</v>
      </c>
      <c r="L92" t="str">
        <f>_xlfn.XLOOKUP(Tabelle_Book_Edition[[#This Row],[author_id]],Author!A:A,Author!B:B,"",0)</f>
        <v>Sara Morgan</v>
      </c>
      <c r="M92" s="1" t="str">
        <f>_xlfn.XLOOKUP(Tabelle_Book_Edition[[#This Row],[pub_id]],Publisher!A:A,Publisher!B:B,"",0)</f>
        <v>Palimpsest Printing</v>
      </c>
    </row>
    <row r="93" spans="1:13" x14ac:dyDescent="0.3">
      <c r="A93" s="1" t="s">
        <v>479</v>
      </c>
      <c r="B93" s="1" t="s">
        <v>475</v>
      </c>
      <c r="C93" s="1" t="s">
        <v>30</v>
      </c>
      <c r="D93" s="1" t="s">
        <v>49</v>
      </c>
      <c r="E93" s="2">
        <v>43294</v>
      </c>
      <c r="F93">
        <v>334</v>
      </c>
      <c r="G93">
        <v>9</v>
      </c>
      <c r="H93">
        <v>2.35</v>
      </c>
      <c r="I93" s="4">
        <v>48000</v>
      </c>
      <c r="J93" t="str">
        <f>_xlfn.XLOOKUP(Tabelle_Book_Edition[[#This Row],[book_id]],Award!A:A,Award!B:B,"",0)</f>
        <v/>
      </c>
      <c r="K93" t="str">
        <f>_xlfn.XLOOKUP(Tabelle_Book_Edition[[#This Row],[book_id]],Book!A:A,Book!C:C,"",0)</f>
        <v>SM232</v>
      </c>
      <c r="L93" t="str">
        <f>_xlfn.XLOOKUP(Tabelle_Book_Edition[[#This Row],[author_id]],Author!A:A,Author!B:B,"",0)</f>
        <v>Sidney Meyer</v>
      </c>
      <c r="M93" s="1" t="str">
        <f>_xlfn.XLOOKUP(Tabelle_Book_Edition[[#This Row],[pub_id]],Publisher!A:A,Publisher!B:B,"",0)</f>
        <v>Palimpsest Printing</v>
      </c>
    </row>
    <row r="94" spans="1:13" x14ac:dyDescent="0.3">
      <c r="A94" s="1" t="s">
        <v>484</v>
      </c>
      <c r="B94" s="1" t="s">
        <v>480</v>
      </c>
      <c r="C94" s="1" t="s">
        <v>30</v>
      </c>
      <c r="D94" s="1" t="s">
        <v>41</v>
      </c>
      <c r="E94" s="2">
        <v>43475</v>
      </c>
      <c r="F94">
        <v>275</v>
      </c>
      <c r="G94">
        <v>18</v>
      </c>
      <c r="H94">
        <v>8.99</v>
      </c>
      <c r="I94" s="4">
        <v>48000</v>
      </c>
      <c r="J94" t="str">
        <f>_xlfn.XLOOKUP(Tabelle_Book_Edition[[#This Row],[book_id]],Award!A:A,Award!B:B,"",0)</f>
        <v/>
      </c>
      <c r="K94" t="str">
        <f>_xlfn.XLOOKUP(Tabelle_Book_Edition[[#This Row],[book_id]],Book!A:A,Book!C:C,"",0)</f>
        <v>TS013</v>
      </c>
      <c r="L94" t="str">
        <f>_xlfn.XLOOKUP(Tabelle_Book_Edition[[#This Row],[author_id]],Author!A:A,Author!B:B,"",0)</f>
        <v>Taylor Swift</v>
      </c>
      <c r="M94" s="1" t="str">
        <f>_xlfn.XLOOKUP(Tabelle_Book_Edition[[#This Row],[pub_id]],Publisher!A:A,Publisher!B:B,"",0)</f>
        <v>Palimpsest Printing</v>
      </c>
    </row>
    <row r="95" spans="1:13" x14ac:dyDescent="0.3">
      <c r="A95" s="1" t="s">
        <v>491</v>
      </c>
      <c r="B95" s="1" t="s">
        <v>485</v>
      </c>
      <c r="C95" s="1" t="s">
        <v>30</v>
      </c>
      <c r="D95" s="1" t="s">
        <v>29</v>
      </c>
      <c r="E95" s="2">
        <v>43189</v>
      </c>
      <c r="F95">
        <v>289</v>
      </c>
      <c r="G95">
        <v>6</v>
      </c>
      <c r="H95">
        <v>24.99</v>
      </c>
      <c r="I95" s="4">
        <v>48000</v>
      </c>
      <c r="J95" t="str">
        <f>_xlfn.XLOOKUP(Tabelle_Book_Edition[[#This Row],[book_id]],Award!A:A,Award!B:B,"",0)</f>
        <v>Newberry Medal</v>
      </c>
      <c r="K95" t="str">
        <f>_xlfn.XLOOKUP(Tabelle_Book_Edition[[#This Row],[book_id]],Book!A:A,Book!C:C,"",0)</f>
        <v>VC764</v>
      </c>
      <c r="L95" t="str">
        <f>_xlfn.XLOOKUP(Tabelle_Book_Edition[[#This Row],[author_id]],Author!A:A,Author!B:B,"",0)</f>
        <v>Victoria Chen</v>
      </c>
      <c r="M95" s="1" t="str">
        <f>_xlfn.XLOOKUP(Tabelle_Book_Edition[[#This Row],[pub_id]],Publisher!A:A,Publisher!B:B,"",0)</f>
        <v>Palimpsest Printing</v>
      </c>
    </row>
    <row r="96" spans="1:13" x14ac:dyDescent="0.3">
      <c r="A96" s="1" t="s">
        <v>496</v>
      </c>
      <c r="B96" s="1" t="s">
        <v>492</v>
      </c>
      <c r="C96" s="1" t="s">
        <v>30</v>
      </c>
      <c r="D96" s="1" t="s">
        <v>49</v>
      </c>
      <c r="E96" s="2">
        <v>43329</v>
      </c>
      <c r="F96">
        <v>366</v>
      </c>
      <c r="G96">
        <v>13</v>
      </c>
      <c r="H96">
        <v>2.35</v>
      </c>
      <c r="I96" s="4">
        <v>48000</v>
      </c>
      <c r="J96" t="str">
        <f>_xlfn.XLOOKUP(Tabelle_Book_Edition[[#This Row],[book_id]],Award!A:A,Award!B:B,"",0)</f>
        <v>National Book Award</v>
      </c>
      <c r="K96" t="str">
        <f>_xlfn.XLOOKUP(Tabelle_Book_Edition[[#This Row],[book_id]],Book!A:A,Book!C:C,"",0)</f>
        <v>VG454</v>
      </c>
      <c r="L96" t="str">
        <f>_xlfn.XLOOKUP(Tabelle_Book_Edition[[#This Row],[author_id]],Author!A:A,Author!B:B,"",0)</f>
        <v>Victor Garcia</v>
      </c>
      <c r="M96" s="1" t="str">
        <f>_xlfn.XLOOKUP(Tabelle_Book_Edition[[#This Row],[pub_id]],Publisher!A:A,Publisher!B:B,"",0)</f>
        <v>Palimpsest Printing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B5A8E-C6CA-46B7-9AFE-652C855EB7F8}">
  <dimension ref="A1:C36"/>
  <sheetViews>
    <sheetView workbookViewId="0">
      <selection activeCell="A2" sqref="A2"/>
    </sheetView>
  </sheetViews>
  <sheetFormatPr baseColWidth="10" defaultRowHeight="14.4" x14ac:dyDescent="0.3"/>
  <cols>
    <col min="1" max="1" width="9.109375" bestFit="1" customWidth="1"/>
    <col min="2" max="2" width="24.88671875" bestFit="1" customWidth="1"/>
    <col min="3" max="3" width="10.88671875" bestFit="1" customWidth="1"/>
  </cols>
  <sheetData>
    <row r="1" spans="1:3" x14ac:dyDescent="0.3">
      <c r="A1" t="s">
        <v>498</v>
      </c>
      <c r="B1" t="s">
        <v>507</v>
      </c>
      <c r="C1" t="s">
        <v>508</v>
      </c>
    </row>
    <row r="2" spans="1:3" x14ac:dyDescent="0.3">
      <c r="A2" s="1" t="s">
        <v>22</v>
      </c>
      <c r="B2" s="1" t="s">
        <v>27</v>
      </c>
      <c r="C2">
        <v>2024</v>
      </c>
    </row>
    <row r="3" spans="1:3" x14ac:dyDescent="0.3">
      <c r="A3" s="1" t="s">
        <v>42</v>
      </c>
      <c r="B3" s="1" t="s">
        <v>47</v>
      </c>
      <c r="C3">
        <v>2023</v>
      </c>
    </row>
    <row r="4" spans="1:3" x14ac:dyDescent="0.3">
      <c r="A4" s="1" t="s">
        <v>59</v>
      </c>
      <c r="B4" s="1" t="s">
        <v>47</v>
      </c>
      <c r="C4">
        <v>2010</v>
      </c>
    </row>
    <row r="5" spans="1:3" x14ac:dyDescent="0.3">
      <c r="A5" s="1" t="s">
        <v>69</v>
      </c>
      <c r="B5" s="1" t="s">
        <v>73</v>
      </c>
      <c r="C5">
        <v>2016</v>
      </c>
    </row>
    <row r="6" spans="1:3" x14ac:dyDescent="0.3">
      <c r="A6" s="1" t="s">
        <v>80</v>
      </c>
      <c r="B6" s="1" t="s">
        <v>84</v>
      </c>
      <c r="C6">
        <v>2018</v>
      </c>
    </row>
    <row r="7" spans="1:3" x14ac:dyDescent="0.3">
      <c r="A7" s="1" t="s">
        <v>100</v>
      </c>
      <c r="B7" s="1" t="s">
        <v>73</v>
      </c>
      <c r="C7">
        <v>2023</v>
      </c>
    </row>
    <row r="8" spans="1:3" x14ac:dyDescent="0.3">
      <c r="A8" s="1" t="s">
        <v>124</v>
      </c>
      <c r="B8" s="1" t="s">
        <v>128</v>
      </c>
      <c r="C8">
        <v>2017</v>
      </c>
    </row>
    <row r="9" spans="1:3" x14ac:dyDescent="0.3">
      <c r="A9" s="1" t="s">
        <v>130</v>
      </c>
      <c r="B9" s="1" t="s">
        <v>27</v>
      </c>
      <c r="C9">
        <v>2023</v>
      </c>
    </row>
    <row r="10" spans="1:3" x14ac:dyDescent="0.3">
      <c r="A10" s="1" t="s">
        <v>135</v>
      </c>
      <c r="B10" s="1" t="s">
        <v>27</v>
      </c>
      <c r="C10">
        <v>2011</v>
      </c>
    </row>
    <row r="11" spans="1:3" x14ac:dyDescent="0.3">
      <c r="A11" s="1" t="s">
        <v>155</v>
      </c>
      <c r="B11" s="1" t="s">
        <v>84</v>
      </c>
      <c r="C11">
        <v>2020</v>
      </c>
    </row>
    <row r="12" spans="1:3" x14ac:dyDescent="0.3">
      <c r="A12" s="1" t="s">
        <v>160</v>
      </c>
      <c r="B12" s="1" t="s">
        <v>162</v>
      </c>
      <c r="C12">
        <v>2022</v>
      </c>
    </row>
    <row r="13" spans="1:3" x14ac:dyDescent="0.3">
      <c r="A13" s="1" t="s">
        <v>169</v>
      </c>
      <c r="B13" s="1" t="s">
        <v>128</v>
      </c>
      <c r="C13">
        <v>2018</v>
      </c>
    </row>
    <row r="14" spans="1:3" x14ac:dyDescent="0.3">
      <c r="A14" s="1" t="s">
        <v>179</v>
      </c>
      <c r="B14" s="1" t="s">
        <v>128</v>
      </c>
      <c r="C14">
        <v>2012</v>
      </c>
    </row>
    <row r="15" spans="1:3" x14ac:dyDescent="0.3">
      <c r="A15" s="1" t="s">
        <v>199</v>
      </c>
      <c r="B15" s="1" t="s">
        <v>73</v>
      </c>
      <c r="C15">
        <v>2015</v>
      </c>
    </row>
    <row r="16" spans="1:3" x14ac:dyDescent="0.3">
      <c r="A16" s="1" t="s">
        <v>205</v>
      </c>
      <c r="B16" s="1" t="s">
        <v>209</v>
      </c>
      <c r="C16">
        <v>2015</v>
      </c>
    </row>
    <row r="17" spans="1:3" x14ac:dyDescent="0.3">
      <c r="A17" s="1" t="s">
        <v>205</v>
      </c>
      <c r="B17" s="1" t="s">
        <v>27</v>
      </c>
      <c r="C17">
        <v>2015</v>
      </c>
    </row>
    <row r="18" spans="1:3" x14ac:dyDescent="0.3">
      <c r="A18" s="1" t="s">
        <v>211</v>
      </c>
      <c r="B18" s="1" t="s">
        <v>73</v>
      </c>
      <c r="C18">
        <v>2024</v>
      </c>
    </row>
    <row r="19" spans="1:3" x14ac:dyDescent="0.3">
      <c r="A19" s="1" t="s">
        <v>216</v>
      </c>
      <c r="B19" s="1" t="s">
        <v>128</v>
      </c>
      <c r="C19">
        <v>2023</v>
      </c>
    </row>
    <row r="20" spans="1:3" x14ac:dyDescent="0.3">
      <c r="A20" s="1" t="s">
        <v>275</v>
      </c>
      <c r="B20" s="1" t="s">
        <v>128</v>
      </c>
      <c r="C20">
        <v>2016</v>
      </c>
    </row>
    <row r="21" spans="1:3" x14ac:dyDescent="0.3">
      <c r="A21" s="1" t="s">
        <v>283</v>
      </c>
      <c r="B21" s="1" t="s">
        <v>27</v>
      </c>
      <c r="C21">
        <v>2019</v>
      </c>
    </row>
    <row r="22" spans="1:3" x14ac:dyDescent="0.3">
      <c r="A22" s="1" t="s">
        <v>298</v>
      </c>
      <c r="B22" s="1" t="s">
        <v>209</v>
      </c>
      <c r="C22">
        <v>2020</v>
      </c>
    </row>
    <row r="23" spans="1:3" x14ac:dyDescent="0.3">
      <c r="A23" s="1" t="s">
        <v>312</v>
      </c>
      <c r="B23" s="1" t="s">
        <v>162</v>
      </c>
      <c r="C23">
        <v>2019</v>
      </c>
    </row>
    <row r="24" spans="1:3" x14ac:dyDescent="0.3">
      <c r="A24" s="1" t="s">
        <v>322</v>
      </c>
      <c r="B24" s="1" t="s">
        <v>128</v>
      </c>
      <c r="C24">
        <v>2013</v>
      </c>
    </row>
    <row r="25" spans="1:3" x14ac:dyDescent="0.3">
      <c r="A25" s="1" t="s">
        <v>330</v>
      </c>
      <c r="B25" s="1" t="s">
        <v>162</v>
      </c>
      <c r="C25">
        <v>2021</v>
      </c>
    </row>
    <row r="26" spans="1:3" x14ac:dyDescent="0.3">
      <c r="A26" s="1" t="s">
        <v>336</v>
      </c>
      <c r="B26" s="1" t="s">
        <v>340</v>
      </c>
      <c r="C26">
        <v>2014</v>
      </c>
    </row>
    <row r="27" spans="1:3" x14ac:dyDescent="0.3">
      <c r="A27" s="1" t="s">
        <v>347</v>
      </c>
      <c r="B27" s="1" t="s">
        <v>27</v>
      </c>
      <c r="C27">
        <v>2020</v>
      </c>
    </row>
    <row r="28" spans="1:3" x14ac:dyDescent="0.3">
      <c r="A28" s="1" t="s">
        <v>369</v>
      </c>
      <c r="B28" s="1" t="s">
        <v>128</v>
      </c>
      <c r="C28">
        <v>2011</v>
      </c>
    </row>
    <row r="29" spans="1:3" x14ac:dyDescent="0.3">
      <c r="A29" s="1" t="s">
        <v>382</v>
      </c>
      <c r="B29" s="1" t="s">
        <v>386</v>
      </c>
      <c r="C29">
        <v>2017</v>
      </c>
    </row>
    <row r="30" spans="1:3" x14ac:dyDescent="0.3">
      <c r="A30" s="1" t="s">
        <v>398</v>
      </c>
      <c r="B30" s="1" t="s">
        <v>73</v>
      </c>
      <c r="C30">
        <v>2021</v>
      </c>
    </row>
    <row r="31" spans="1:3" x14ac:dyDescent="0.3">
      <c r="A31" s="1" t="s">
        <v>414</v>
      </c>
      <c r="B31" s="1" t="s">
        <v>418</v>
      </c>
      <c r="C31">
        <v>2015</v>
      </c>
    </row>
    <row r="32" spans="1:3" x14ac:dyDescent="0.3">
      <c r="A32" s="1" t="s">
        <v>420</v>
      </c>
      <c r="B32" s="1" t="s">
        <v>424</v>
      </c>
      <c r="C32">
        <v>2019</v>
      </c>
    </row>
    <row r="33" spans="1:3" x14ac:dyDescent="0.3">
      <c r="A33" s="1" t="s">
        <v>441</v>
      </c>
      <c r="B33" s="1" t="s">
        <v>84</v>
      </c>
      <c r="C33">
        <v>2017</v>
      </c>
    </row>
    <row r="34" spans="1:3" x14ac:dyDescent="0.3">
      <c r="A34" s="1" t="s">
        <v>451</v>
      </c>
      <c r="B34" s="1" t="s">
        <v>424</v>
      </c>
      <c r="C34">
        <v>2014</v>
      </c>
    </row>
    <row r="35" spans="1:3" x14ac:dyDescent="0.3">
      <c r="A35" s="1" t="s">
        <v>485</v>
      </c>
      <c r="B35" s="1" t="s">
        <v>490</v>
      </c>
      <c r="C35">
        <v>2022</v>
      </c>
    </row>
    <row r="36" spans="1:3" x14ac:dyDescent="0.3">
      <c r="A36" s="1" t="s">
        <v>492</v>
      </c>
      <c r="B36" s="1" t="s">
        <v>73</v>
      </c>
      <c r="C36">
        <v>2012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2CC15-8CBD-4394-9E5A-A6E39B977FE3}">
  <dimension ref="A1:E80"/>
  <sheetViews>
    <sheetView workbookViewId="0">
      <selection activeCell="A2" sqref="A2"/>
    </sheetView>
  </sheetViews>
  <sheetFormatPr baseColWidth="10" defaultRowHeight="14.4" x14ac:dyDescent="0.3"/>
  <cols>
    <col min="1" max="1" width="8.77734375" bestFit="1" customWidth="1"/>
    <col min="2" max="2" width="15.88671875" bestFit="1" customWidth="1"/>
    <col min="3" max="3" width="10.33203125" bestFit="1" customWidth="1"/>
    <col min="4" max="4" width="20.6640625" bestFit="1" customWidth="1"/>
    <col min="5" max="5" width="19.109375" bestFit="1" customWidth="1"/>
  </cols>
  <sheetData>
    <row r="1" spans="1:5" x14ac:dyDescent="0.3">
      <c r="A1" t="s">
        <v>509</v>
      </c>
      <c r="B1" t="s">
        <v>510</v>
      </c>
      <c r="C1" t="s">
        <v>511</v>
      </c>
      <c r="D1" t="s">
        <v>512</v>
      </c>
      <c r="E1" t="s">
        <v>513</v>
      </c>
    </row>
    <row r="2" spans="1:5" x14ac:dyDescent="0.3">
      <c r="A2" s="1" t="s">
        <v>24</v>
      </c>
      <c r="B2" s="1" t="s">
        <v>25</v>
      </c>
      <c r="C2" s="2">
        <v>27824</v>
      </c>
      <c r="D2" s="1" t="s">
        <v>26</v>
      </c>
      <c r="E2">
        <v>3</v>
      </c>
    </row>
    <row r="3" spans="1:5" x14ac:dyDescent="0.3">
      <c r="A3" s="1" t="s">
        <v>37</v>
      </c>
      <c r="B3" s="1" t="s">
        <v>38</v>
      </c>
      <c r="C3" s="2">
        <v>31674</v>
      </c>
      <c r="D3" s="1" t="s">
        <v>39</v>
      </c>
      <c r="E3">
        <v>4</v>
      </c>
    </row>
    <row r="4" spans="1:5" x14ac:dyDescent="0.3">
      <c r="A4" s="1" t="s">
        <v>44</v>
      </c>
      <c r="B4" s="1" t="s">
        <v>45</v>
      </c>
      <c r="C4" s="2">
        <v>32673</v>
      </c>
      <c r="D4" s="1" t="s">
        <v>46</v>
      </c>
      <c r="E4">
        <v>4</v>
      </c>
    </row>
    <row r="5" spans="1:5" x14ac:dyDescent="0.3">
      <c r="A5" s="1" t="s">
        <v>55</v>
      </c>
      <c r="B5" s="1" t="s">
        <v>56</v>
      </c>
      <c r="C5" s="2">
        <v>30914</v>
      </c>
      <c r="D5" s="1" t="s">
        <v>57</v>
      </c>
      <c r="E5">
        <v>4</v>
      </c>
    </row>
    <row r="6" spans="1:5" x14ac:dyDescent="0.3">
      <c r="A6" s="1" t="s">
        <v>61</v>
      </c>
      <c r="B6" s="1" t="s">
        <v>62</v>
      </c>
      <c r="C6" s="2">
        <v>22048</v>
      </c>
      <c r="D6" s="1" t="s">
        <v>39</v>
      </c>
      <c r="E6">
        <v>3</v>
      </c>
    </row>
    <row r="7" spans="1:5" x14ac:dyDescent="0.3">
      <c r="A7" s="1" t="s">
        <v>71</v>
      </c>
      <c r="B7" s="1" t="s">
        <v>72</v>
      </c>
      <c r="C7" s="2">
        <v>30258</v>
      </c>
      <c r="D7" s="1" t="s">
        <v>34</v>
      </c>
      <c r="E7">
        <v>4</v>
      </c>
    </row>
    <row r="8" spans="1:5" x14ac:dyDescent="0.3">
      <c r="A8" s="1" t="s">
        <v>78</v>
      </c>
      <c r="B8" s="1" t="s">
        <v>79</v>
      </c>
      <c r="C8" s="2">
        <v>34224</v>
      </c>
      <c r="D8" s="1" t="s">
        <v>34</v>
      </c>
      <c r="E8">
        <v>5</v>
      </c>
    </row>
    <row r="9" spans="1:5" x14ac:dyDescent="0.3">
      <c r="A9" s="1" t="s">
        <v>82</v>
      </c>
      <c r="B9" s="1" t="s">
        <v>83</v>
      </c>
      <c r="C9" s="2">
        <v>27654</v>
      </c>
      <c r="D9" s="1" t="s">
        <v>26</v>
      </c>
      <c r="E9">
        <v>5</v>
      </c>
    </row>
    <row r="10" spans="1:5" x14ac:dyDescent="0.3">
      <c r="A10" s="1" t="s">
        <v>91</v>
      </c>
      <c r="B10" s="1" t="s">
        <v>92</v>
      </c>
      <c r="C10" s="2">
        <v>29138</v>
      </c>
      <c r="D10" s="1" t="s">
        <v>93</v>
      </c>
      <c r="E10">
        <v>4</v>
      </c>
    </row>
    <row r="11" spans="1:5" x14ac:dyDescent="0.3">
      <c r="A11" s="1" t="s">
        <v>97</v>
      </c>
      <c r="B11" s="1" t="s">
        <v>98</v>
      </c>
      <c r="C11" s="2">
        <v>32871</v>
      </c>
      <c r="D11" s="1" t="s">
        <v>39</v>
      </c>
      <c r="E11">
        <v>3</v>
      </c>
    </row>
    <row r="12" spans="1:5" x14ac:dyDescent="0.3">
      <c r="A12" s="1" t="s">
        <v>102</v>
      </c>
      <c r="B12" s="1" t="s">
        <v>103</v>
      </c>
      <c r="C12" s="2">
        <v>31148</v>
      </c>
      <c r="D12" s="1" t="s">
        <v>39</v>
      </c>
      <c r="E12">
        <v>3</v>
      </c>
    </row>
    <row r="13" spans="1:5" x14ac:dyDescent="0.3">
      <c r="A13" s="1" t="s">
        <v>107</v>
      </c>
      <c r="B13" s="1" t="s">
        <v>108</v>
      </c>
      <c r="C13" s="2">
        <v>29124</v>
      </c>
      <c r="D13" s="1" t="s">
        <v>39</v>
      </c>
      <c r="E13">
        <v>4</v>
      </c>
    </row>
    <row r="14" spans="1:5" x14ac:dyDescent="0.3">
      <c r="A14" s="1" t="s">
        <v>112</v>
      </c>
      <c r="B14" s="1" t="s">
        <v>113</v>
      </c>
      <c r="C14" s="2">
        <v>32325</v>
      </c>
      <c r="D14" s="1" t="s">
        <v>39</v>
      </c>
      <c r="E14">
        <v>4</v>
      </c>
    </row>
    <row r="15" spans="1:5" x14ac:dyDescent="0.3">
      <c r="A15" s="1" t="s">
        <v>117</v>
      </c>
      <c r="B15" s="1" t="s">
        <v>118</v>
      </c>
      <c r="C15" s="2">
        <v>33332</v>
      </c>
      <c r="D15" s="1" t="s">
        <v>119</v>
      </c>
      <c r="E15">
        <v>5</v>
      </c>
    </row>
    <row r="16" spans="1:5" x14ac:dyDescent="0.3">
      <c r="A16" s="1" t="s">
        <v>126</v>
      </c>
      <c r="B16" s="1" t="s">
        <v>127</v>
      </c>
      <c r="C16" s="2">
        <v>26840</v>
      </c>
      <c r="D16" s="1" t="s">
        <v>39</v>
      </c>
      <c r="E16">
        <v>4</v>
      </c>
    </row>
    <row r="17" spans="1:5" x14ac:dyDescent="0.3">
      <c r="A17" s="1" t="s">
        <v>132</v>
      </c>
      <c r="B17" s="1" t="s">
        <v>133</v>
      </c>
      <c r="C17" s="2">
        <v>31498</v>
      </c>
      <c r="D17" s="1" t="s">
        <v>39</v>
      </c>
      <c r="E17">
        <v>5</v>
      </c>
    </row>
    <row r="18" spans="1:5" x14ac:dyDescent="0.3">
      <c r="A18" s="1" t="s">
        <v>137</v>
      </c>
      <c r="B18" s="1" t="s">
        <v>138</v>
      </c>
      <c r="C18" s="2">
        <v>30418</v>
      </c>
      <c r="D18" s="1" t="s">
        <v>93</v>
      </c>
      <c r="E18">
        <v>3</v>
      </c>
    </row>
    <row r="19" spans="1:5" x14ac:dyDescent="0.3">
      <c r="A19" s="1" t="s">
        <v>142</v>
      </c>
      <c r="B19" s="1" t="s">
        <v>143</v>
      </c>
      <c r="C19" s="2">
        <v>33033</v>
      </c>
      <c r="D19" s="1" t="s">
        <v>34</v>
      </c>
      <c r="E19">
        <v>4</v>
      </c>
    </row>
    <row r="20" spans="1:5" x14ac:dyDescent="0.3">
      <c r="A20" s="1" t="s">
        <v>147</v>
      </c>
      <c r="B20" s="1" t="s">
        <v>148</v>
      </c>
      <c r="C20" s="2">
        <v>30328</v>
      </c>
      <c r="D20" s="1" t="s">
        <v>57</v>
      </c>
      <c r="E20">
        <v>4</v>
      </c>
    </row>
    <row r="21" spans="1:5" x14ac:dyDescent="0.3">
      <c r="A21" s="1" t="s">
        <v>157</v>
      </c>
      <c r="B21" s="1" t="s">
        <v>158</v>
      </c>
      <c r="C21" s="2">
        <v>30817</v>
      </c>
      <c r="D21" s="1" t="s">
        <v>57</v>
      </c>
      <c r="E21">
        <v>4</v>
      </c>
    </row>
    <row r="22" spans="1:5" x14ac:dyDescent="0.3">
      <c r="A22" s="1" t="s">
        <v>166</v>
      </c>
      <c r="B22" s="1" t="s">
        <v>167</v>
      </c>
      <c r="C22" s="2">
        <v>31709</v>
      </c>
      <c r="D22" s="1" t="s">
        <v>93</v>
      </c>
      <c r="E22">
        <v>5</v>
      </c>
    </row>
    <row r="23" spans="1:5" x14ac:dyDescent="0.3">
      <c r="A23" s="1" t="s">
        <v>171</v>
      </c>
      <c r="B23" s="1" t="s">
        <v>172</v>
      </c>
      <c r="C23" s="2">
        <v>27281</v>
      </c>
      <c r="D23" s="1" t="s">
        <v>39</v>
      </c>
      <c r="E23">
        <v>2</v>
      </c>
    </row>
    <row r="24" spans="1:5" x14ac:dyDescent="0.3">
      <c r="A24" s="1" t="s">
        <v>176</v>
      </c>
      <c r="B24" s="1" t="s">
        <v>177</v>
      </c>
      <c r="C24" s="2">
        <v>30004</v>
      </c>
      <c r="D24" s="1" t="s">
        <v>34</v>
      </c>
      <c r="E24">
        <v>3</v>
      </c>
    </row>
    <row r="25" spans="1:5" x14ac:dyDescent="0.3">
      <c r="A25" s="1" t="s">
        <v>181</v>
      </c>
      <c r="B25" s="1" t="s">
        <v>182</v>
      </c>
      <c r="C25" s="2">
        <v>30019</v>
      </c>
      <c r="D25" s="1" t="s">
        <v>34</v>
      </c>
      <c r="E25">
        <v>4</v>
      </c>
    </row>
    <row r="26" spans="1:5" x14ac:dyDescent="0.3">
      <c r="A26" s="1" t="s">
        <v>186</v>
      </c>
      <c r="B26" s="1" t="s">
        <v>187</v>
      </c>
      <c r="C26" s="2">
        <v>31264</v>
      </c>
      <c r="D26" s="1" t="s">
        <v>188</v>
      </c>
      <c r="E26">
        <v>5</v>
      </c>
    </row>
    <row r="27" spans="1:5" x14ac:dyDescent="0.3">
      <c r="A27" s="1" t="s">
        <v>195</v>
      </c>
      <c r="B27" s="1" t="s">
        <v>196</v>
      </c>
      <c r="C27" s="2">
        <v>27968</v>
      </c>
      <c r="D27" s="1" t="s">
        <v>197</v>
      </c>
      <c r="E27">
        <v>3</v>
      </c>
    </row>
    <row r="28" spans="1:5" x14ac:dyDescent="0.3">
      <c r="A28" s="1" t="s">
        <v>201</v>
      </c>
      <c r="B28" s="1" t="s">
        <v>202</v>
      </c>
      <c r="C28" s="2">
        <v>25301</v>
      </c>
      <c r="D28" s="1" t="s">
        <v>203</v>
      </c>
      <c r="E28">
        <v>4</v>
      </c>
    </row>
    <row r="29" spans="1:5" x14ac:dyDescent="0.3">
      <c r="A29" s="1" t="s">
        <v>207</v>
      </c>
      <c r="B29" s="1" t="s">
        <v>208</v>
      </c>
      <c r="C29" s="2">
        <v>29456</v>
      </c>
      <c r="D29" s="1" t="s">
        <v>93</v>
      </c>
      <c r="E29">
        <v>3</v>
      </c>
    </row>
    <row r="30" spans="1:5" x14ac:dyDescent="0.3">
      <c r="A30" s="1" t="s">
        <v>213</v>
      </c>
      <c r="B30" s="1" t="s">
        <v>214</v>
      </c>
      <c r="C30" s="2">
        <v>17796</v>
      </c>
      <c r="D30" s="1" t="s">
        <v>39</v>
      </c>
      <c r="E30">
        <v>5</v>
      </c>
    </row>
    <row r="31" spans="1:5" x14ac:dyDescent="0.3">
      <c r="A31" s="1" t="s">
        <v>218</v>
      </c>
      <c r="B31" s="1" t="s">
        <v>219</v>
      </c>
      <c r="C31" s="2">
        <v>31188</v>
      </c>
      <c r="D31" s="1" t="s">
        <v>34</v>
      </c>
      <c r="E31">
        <v>3</v>
      </c>
    </row>
    <row r="32" spans="1:5" x14ac:dyDescent="0.3">
      <c r="A32" s="1" t="s">
        <v>223</v>
      </c>
      <c r="B32" s="1" t="s">
        <v>224</v>
      </c>
      <c r="C32" s="2">
        <v>31382</v>
      </c>
      <c r="D32" s="1" t="s">
        <v>34</v>
      </c>
      <c r="E32">
        <v>4</v>
      </c>
    </row>
    <row r="33" spans="1:5" x14ac:dyDescent="0.3">
      <c r="A33" s="1" t="s">
        <v>229</v>
      </c>
      <c r="B33" s="1" t="s">
        <v>230</v>
      </c>
      <c r="C33" s="2">
        <v>29715</v>
      </c>
      <c r="D33" s="1" t="s">
        <v>39</v>
      </c>
      <c r="E33">
        <v>3</v>
      </c>
    </row>
    <row r="34" spans="1:5" x14ac:dyDescent="0.3">
      <c r="A34" s="1" t="s">
        <v>234</v>
      </c>
      <c r="B34" s="1" t="s">
        <v>235</v>
      </c>
      <c r="C34" s="2">
        <v>33276</v>
      </c>
      <c r="D34" s="1" t="s">
        <v>236</v>
      </c>
      <c r="E34">
        <v>5</v>
      </c>
    </row>
    <row r="35" spans="1:5" x14ac:dyDescent="0.3">
      <c r="A35" s="1" t="s">
        <v>240</v>
      </c>
      <c r="B35" s="1" t="s">
        <v>241</v>
      </c>
      <c r="C35" s="2">
        <v>31654</v>
      </c>
      <c r="D35" s="1" t="s">
        <v>197</v>
      </c>
      <c r="E35">
        <v>4</v>
      </c>
    </row>
    <row r="36" spans="1:5" x14ac:dyDescent="0.3">
      <c r="A36" s="1" t="s">
        <v>246</v>
      </c>
      <c r="B36" s="1" t="s">
        <v>247</v>
      </c>
      <c r="C36" s="2">
        <v>27502</v>
      </c>
      <c r="D36" s="1" t="s">
        <v>39</v>
      </c>
      <c r="E36">
        <v>2</v>
      </c>
    </row>
    <row r="37" spans="1:5" x14ac:dyDescent="0.3">
      <c r="A37" s="1" t="s">
        <v>251</v>
      </c>
      <c r="B37" s="1" t="s">
        <v>252</v>
      </c>
      <c r="C37" s="2">
        <v>30159</v>
      </c>
      <c r="D37" s="1" t="s">
        <v>93</v>
      </c>
      <c r="E37">
        <v>3</v>
      </c>
    </row>
    <row r="38" spans="1:5" x14ac:dyDescent="0.3">
      <c r="A38" s="1" t="s">
        <v>256</v>
      </c>
      <c r="B38" s="1" t="s">
        <v>257</v>
      </c>
      <c r="C38" s="2">
        <v>28478</v>
      </c>
      <c r="D38" s="1" t="s">
        <v>39</v>
      </c>
      <c r="E38">
        <v>3</v>
      </c>
    </row>
    <row r="39" spans="1:5" x14ac:dyDescent="0.3">
      <c r="A39" s="1" t="s">
        <v>261</v>
      </c>
      <c r="B39" s="1" t="s">
        <v>262</v>
      </c>
      <c r="C39" s="2">
        <v>27559</v>
      </c>
      <c r="D39" s="1" t="s">
        <v>39</v>
      </c>
      <c r="E39">
        <v>3</v>
      </c>
    </row>
    <row r="40" spans="1:5" x14ac:dyDescent="0.3">
      <c r="A40" s="1" t="s">
        <v>266</v>
      </c>
      <c r="B40" s="1" t="s">
        <v>267</v>
      </c>
      <c r="C40" s="2">
        <v>29709</v>
      </c>
      <c r="D40" s="1" t="s">
        <v>39</v>
      </c>
      <c r="E40">
        <v>4</v>
      </c>
    </row>
    <row r="41" spans="1:5" x14ac:dyDescent="0.3">
      <c r="A41" s="1" t="s">
        <v>272</v>
      </c>
      <c r="B41" s="1" t="s">
        <v>273</v>
      </c>
      <c r="C41" s="2">
        <v>24285</v>
      </c>
      <c r="D41" s="1" t="s">
        <v>39</v>
      </c>
      <c r="E41">
        <v>5</v>
      </c>
    </row>
    <row r="42" spans="1:5" x14ac:dyDescent="0.3">
      <c r="A42" s="1" t="s">
        <v>277</v>
      </c>
      <c r="B42" s="1" t="s">
        <v>278</v>
      </c>
      <c r="C42" s="2">
        <v>23954</v>
      </c>
      <c r="D42" s="1" t="s">
        <v>34</v>
      </c>
      <c r="E42">
        <v>6</v>
      </c>
    </row>
    <row r="43" spans="1:5" x14ac:dyDescent="0.3">
      <c r="A43" s="1" t="s">
        <v>285</v>
      </c>
      <c r="B43" s="1" t="s">
        <v>286</v>
      </c>
      <c r="C43" s="2">
        <v>26639</v>
      </c>
      <c r="D43" s="1" t="s">
        <v>203</v>
      </c>
      <c r="E43">
        <v>6</v>
      </c>
    </row>
    <row r="44" spans="1:5" x14ac:dyDescent="0.3">
      <c r="A44" s="1" t="s">
        <v>290</v>
      </c>
      <c r="B44" s="1" t="s">
        <v>291</v>
      </c>
      <c r="C44" s="2">
        <v>30564</v>
      </c>
      <c r="D44" s="1" t="s">
        <v>34</v>
      </c>
      <c r="E44">
        <v>3</v>
      </c>
    </row>
    <row r="45" spans="1:5" x14ac:dyDescent="0.3">
      <c r="A45" s="1" t="s">
        <v>295</v>
      </c>
      <c r="B45" s="1" t="s">
        <v>296</v>
      </c>
      <c r="C45" s="2">
        <v>25580</v>
      </c>
      <c r="D45" s="1" t="s">
        <v>39</v>
      </c>
      <c r="E45">
        <v>4</v>
      </c>
    </row>
    <row r="46" spans="1:5" x14ac:dyDescent="0.3">
      <c r="A46" s="1" t="s">
        <v>300</v>
      </c>
      <c r="B46" s="1" t="s">
        <v>301</v>
      </c>
      <c r="C46" s="2">
        <v>29536</v>
      </c>
      <c r="D46" s="1" t="s">
        <v>93</v>
      </c>
      <c r="E46">
        <v>4</v>
      </c>
    </row>
    <row r="47" spans="1:5" x14ac:dyDescent="0.3">
      <c r="A47" s="1" t="s">
        <v>308</v>
      </c>
      <c r="B47" s="1" t="s">
        <v>309</v>
      </c>
      <c r="C47" s="2">
        <v>32946</v>
      </c>
      <c r="D47" s="1" t="s">
        <v>39</v>
      </c>
      <c r="E47">
        <v>5</v>
      </c>
    </row>
    <row r="48" spans="1:5" x14ac:dyDescent="0.3">
      <c r="A48" s="1" t="s">
        <v>314</v>
      </c>
      <c r="B48" s="1" t="s">
        <v>315</v>
      </c>
      <c r="C48" s="2">
        <v>32126</v>
      </c>
      <c r="D48" s="1" t="s">
        <v>34</v>
      </c>
      <c r="E48">
        <v>4</v>
      </c>
    </row>
    <row r="49" spans="1:5" x14ac:dyDescent="0.3">
      <c r="A49" s="1" t="s">
        <v>319</v>
      </c>
      <c r="B49" s="1" t="s">
        <v>320</v>
      </c>
      <c r="C49" s="2">
        <v>29163</v>
      </c>
      <c r="D49" s="1" t="s">
        <v>34</v>
      </c>
      <c r="E49">
        <v>4</v>
      </c>
    </row>
    <row r="50" spans="1:5" x14ac:dyDescent="0.3">
      <c r="A50" s="1" t="s">
        <v>324</v>
      </c>
      <c r="B50" s="1" t="s">
        <v>325</v>
      </c>
      <c r="C50" s="2">
        <v>32023</v>
      </c>
      <c r="D50" s="1" t="s">
        <v>197</v>
      </c>
      <c r="E50">
        <v>3</v>
      </c>
    </row>
    <row r="51" spans="1:5" x14ac:dyDescent="0.3">
      <c r="A51" s="1" t="s">
        <v>332</v>
      </c>
      <c r="B51" s="1" t="s">
        <v>333</v>
      </c>
      <c r="C51" s="2">
        <v>34307</v>
      </c>
      <c r="D51" s="1" t="s">
        <v>334</v>
      </c>
      <c r="E51">
        <v>6</v>
      </c>
    </row>
    <row r="52" spans="1:5" x14ac:dyDescent="0.3">
      <c r="A52" s="1" t="s">
        <v>338</v>
      </c>
      <c r="B52" s="1" t="s">
        <v>339</v>
      </c>
      <c r="C52" s="2">
        <v>33525</v>
      </c>
      <c r="D52" s="1" t="s">
        <v>39</v>
      </c>
      <c r="E52">
        <v>5</v>
      </c>
    </row>
    <row r="53" spans="1:5" x14ac:dyDescent="0.3">
      <c r="A53" s="1" t="s">
        <v>344</v>
      </c>
      <c r="B53" s="1" t="s">
        <v>345</v>
      </c>
      <c r="C53" s="2">
        <v>32814</v>
      </c>
      <c r="D53" s="1" t="s">
        <v>93</v>
      </c>
      <c r="E53">
        <v>4</v>
      </c>
    </row>
    <row r="54" spans="1:5" x14ac:dyDescent="0.3">
      <c r="A54" s="1" t="s">
        <v>349</v>
      </c>
      <c r="B54" s="1" t="s">
        <v>350</v>
      </c>
      <c r="C54" s="2">
        <v>32343</v>
      </c>
      <c r="D54" s="1" t="s">
        <v>34</v>
      </c>
      <c r="E54">
        <v>4</v>
      </c>
    </row>
    <row r="55" spans="1:5" x14ac:dyDescent="0.3">
      <c r="A55" s="1" t="s">
        <v>354</v>
      </c>
      <c r="B55" s="1" t="s">
        <v>355</v>
      </c>
      <c r="C55" s="2">
        <v>33662</v>
      </c>
      <c r="D55" s="1" t="s">
        <v>356</v>
      </c>
      <c r="E55">
        <v>4</v>
      </c>
    </row>
    <row r="56" spans="1:5" x14ac:dyDescent="0.3">
      <c r="A56" s="1" t="s">
        <v>360</v>
      </c>
      <c r="B56" s="1" t="s">
        <v>361</v>
      </c>
      <c r="C56" s="2">
        <v>25654</v>
      </c>
      <c r="D56" s="1" t="s">
        <v>39</v>
      </c>
      <c r="E56">
        <v>6</v>
      </c>
    </row>
    <row r="57" spans="1:5" x14ac:dyDescent="0.3">
      <c r="A57" s="1" t="s">
        <v>365</v>
      </c>
      <c r="B57" s="1" t="s">
        <v>366</v>
      </c>
      <c r="C57" s="2">
        <v>28778</v>
      </c>
      <c r="D57" s="1" t="s">
        <v>39</v>
      </c>
      <c r="E57">
        <v>3</v>
      </c>
    </row>
    <row r="58" spans="1:5" x14ac:dyDescent="0.3">
      <c r="A58" s="1" t="s">
        <v>371</v>
      </c>
      <c r="B58" s="1" t="s">
        <v>372</v>
      </c>
      <c r="C58" s="2">
        <v>28765</v>
      </c>
      <c r="D58" s="1" t="s">
        <v>39</v>
      </c>
      <c r="E58">
        <v>3</v>
      </c>
    </row>
    <row r="59" spans="1:5" x14ac:dyDescent="0.3">
      <c r="A59" s="1" t="s">
        <v>379</v>
      </c>
      <c r="B59" s="1" t="s">
        <v>380</v>
      </c>
      <c r="C59" s="2">
        <v>27341</v>
      </c>
      <c r="D59" s="1" t="s">
        <v>46</v>
      </c>
      <c r="E59">
        <v>6</v>
      </c>
    </row>
    <row r="60" spans="1:5" x14ac:dyDescent="0.3">
      <c r="A60" s="1" t="s">
        <v>384</v>
      </c>
      <c r="B60" s="1" t="s">
        <v>385</v>
      </c>
      <c r="C60" s="2">
        <v>24926</v>
      </c>
      <c r="D60" s="1" t="s">
        <v>39</v>
      </c>
      <c r="E60">
        <v>2</v>
      </c>
    </row>
    <row r="61" spans="1:5" x14ac:dyDescent="0.3">
      <c r="A61" s="1" t="s">
        <v>391</v>
      </c>
      <c r="B61" s="1" t="s">
        <v>392</v>
      </c>
      <c r="C61" s="2">
        <v>31931</v>
      </c>
      <c r="D61" s="1" t="s">
        <v>39</v>
      </c>
      <c r="E61">
        <v>4</v>
      </c>
    </row>
    <row r="62" spans="1:5" x14ac:dyDescent="0.3">
      <c r="A62" s="1" t="s">
        <v>395</v>
      </c>
      <c r="B62" s="1" t="s">
        <v>396</v>
      </c>
      <c r="C62" s="2">
        <v>32432</v>
      </c>
      <c r="D62" s="1" t="s">
        <v>119</v>
      </c>
      <c r="E62">
        <v>5</v>
      </c>
    </row>
    <row r="63" spans="1:5" x14ac:dyDescent="0.3">
      <c r="A63" s="1" t="s">
        <v>400</v>
      </c>
      <c r="B63" s="1" t="s">
        <v>401</v>
      </c>
      <c r="C63" s="2">
        <v>28885</v>
      </c>
      <c r="D63" s="1" t="s">
        <v>402</v>
      </c>
      <c r="E63">
        <v>4</v>
      </c>
    </row>
    <row r="64" spans="1:5" x14ac:dyDescent="0.3">
      <c r="A64" s="1" t="s">
        <v>406</v>
      </c>
      <c r="B64" s="1" t="s">
        <v>407</v>
      </c>
      <c r="C64" s="2">
        <v>32517</v>
      </c>
      <c r="D64" s="1" t="s">
        <v>93</v>
      </c>
      <c r="E64">
        <v>4</v>
      </c>
    </row>
    <row r="65" spans="1:5" x14ac:dyDescent="0.3">
      <c r="A65" s="1" t="s">
        <v>411</v>
      </c>
      <c r="B65" s="1" t="s">
        <v>412</v>
      </c>
      <c r="C65" s="2">
        <v>32940</v>
      </c>
      <c r="D65" s="1" t="s">
        <v>34</v>
      </c>
      <c r="E65">
        <v>4</v>
      </c>
    </row>
    <row r="66" spans="1:5" x14ac:dyDescent="0.3">
      <c r="A66" s="1" t="s">
        <v>416</v>
      </c>
      <c r="B66" s="1" t="s">
        <v>417</v>
      </c>
      <c r="C66" s="2">
        <v>26255</v>
      </c>
      <c r="D66" s="1" t="s">
        <v>39</v>
      </c>
      <c r="E66">
        <v>3</v>
      </c>
    </row>
    <row r="67" spans="1:5" x14ac:dyDescent="0.3">
      <c r="A67" s="1" t="s">
        <v>422</v>
      </c>
      <c r="B67" s="1" t="s">
        <v>423</v>
      </c>
      <c r="C67" s="2">
        <v>23930</v>
      </c>
      <c r="D67" s="1" t="s">
        <v>154</v>
      </c>
      <c r="E67">
        <v>2</v>
      </c>
    </row>
    <row r="68" spans="1:5" x14ac:dyDescent="0.3">
      <c r="A68" s="1" t="s">
        <v>428</v>
      </c>
      <c r="B68" s="1" t="s">
        <v>429</v>
      </c>
      <c r="C68" s="2">
        <v>24144</v>
      </c>
      <c r="D68" s="1" t="s">
        <v>34</v>
      </c>
      <c r="E68">
        <v>5</v>
      </c>
    </row>
    <row r="69" spans="1:5" x14ac:dyDescent="0.3">
      <c r="A69" s="1" t="s">
        <v>433</v>
      </c>
      <c r="B69" s="1" t="s">
        <v>434</v>
      </c>
      <c r="C69" s="2">
        <v>27983</v>
      </c>
      <c r="D69" s="1" t="s">
        <v>39</v>
      </c>
      <c r="E69">
        <v>3</v>
      </c>
    </row>
    <row r="70" spans="1:5" x14ac:dyDescent="0.3">
      <c r="A70" s="1" t="s">
        <v>438</v>
      </c>
      <c r="B70" s="1" t="s">
        <v>439</v>
      </c>
      <c r="C70" s="2">
        <v>24594</v>
      </c>
      <c r="D70" s="1" t="s">
        <v>39</v>
      </c>
      <c r="E70">
        <v>2</v>
      </c>
    </row>
    <row r="71" spans="1:5" x14ac:dyDescent="0.3">
      <c r="A71" s="1" t="s">
        <v>443</v>
      </c>
      <c r="B71" s="1" t="s">
        <v>444</v>
      </c>
      <c r="C71" s="2">
        <v>33478</v>
      </c>
      <c r="D71" s="1" t="s">
        <v>39</v>
      </c>
      <c r="E71">
        <v>4</v>
      </c>
    </row>
    <row r="72" spans="1:5" x14ac:dyDescent="0.3">
      <c r="A72" s="1" t="s">
        <v>448</v>
      </c>
      <c r="B72" s="1" t="s">
        <v>449</v>
      </c>
      <c r="C72" s="2">
        <v>33207</v>
      </c>
      <c r="D72" s="1" t="s">
        <v>119</v>
      </c>
      <c r="E72">
        <v>5</v>
      </c>
    </row>
    <row r="73" spans="1:5" x14ac:dyDescent="0.3">
      <c r="A73" s="1" t="s">
        <v>453</v>
      </c>
      <c r="B73" s="1" t="s">
        <v>454</v>
      </c>
      <c r="C73" s="2">
        <v>33612</v>
      </c>
      <c r="D73" s="1" t="s">
        <v>26</v>
      </c>
      <c r="E73">
        <v>3</v>
      </c>
    </row>
    <row r="74" spans="1:5" x14ac:dyDescent="0.3">
      <c r="A74" s="1" t="s">
        <v>462</v>
      </c>
      <c r="B74" s="1" t="s">
        <v>463</v>
      </c>
      <c r="C74" s="2">
        <v>30885</v>
      </c>
      <c r="D74" s="1" t="s">
        <v>46</v>
      </c>
      <c r="E74">
        <v>5</v>
      </c>
    </row>
    <row r="75" spans="1:5" x14ac:dyDescent="0.3">
      <c r="A75" s="1" t="s">
        <v>467</v>
      </c>
      <c r="B75" s="1" t="s">
        <v>468</v>
      </c>
      <c r="C75" s="2">
        <v>32891</v>
      </c>
      <c r="D75" s="1" t="s">
        <v>34</v>
      </c>
      <c r="E75">
        <v>4</v>
      </c>
    </row>
    <row r="76" spans="1:5" x14ac:dyDescent="0.3">
      <c r="A76" s="1" t="s">
        <v>472</v>
      </c>
      <c r="B76" s="1" t="s">
        <v>473</v>
      </c>
      <c r="C76" s="2">
        <v>33344</v>
      </c>
      <c r="D76" s="1" t="s">
        <v>39</v>
      </c>
      <c r="E76">
        <v>5</v>
      </c>
    </row>
    <row r="77" spans="1:5" x14ac:dyDescent="0.3">
      <c r="A77" s="1" t="s">
        <v>477</v>
      </c>
      <c r="B77" s="1" t="s">
        <v>478</v>
      </c>
      <c r="C77" s="2">
        <v>30797</v>
      </c>
      <c r="D77" s="1" t="s">
        <v>39</v>
      </c>
      <c r="E77">
        <v>4</v>
      </c>
    </row>
    <row r="78" spans="1:5" x14ac:dyDescent="0.3">
      <c r="A78" s="1" t="s">
        <v>482</v>
      </c>
      <c r="B78" s="1" t="s">
        <v>483</v>
      </c>
      <c r="C78" s="2">
        <v>32855</v>
      </c>
      <c r="D78" s="1" t="s">
        <v>39</v>
      </c>
      <c r="E78">
        <v>6</v>
      </c>
    </row>
    <row r="79" spans="1:5" x14ac:dyDescent="0.3">
      <c r="A79" s="1" t="s">
        <v>487</v>
      </c>
      <c r="B79" s="1" t="s">
        <v>488</v>
      </c>
      <c r="C79" s="2">
        <v>32924</v>
      </c>
      <c r="D79" s="1" t="s">
        <v>489</v>
      </c>
      <c r="E79">
        <v>5</v>
      </c>
    </row>
    <row r="80" spans="1:5" x14ac:dyDescent="0.3">
      <c r="A80" s="1" t="s">
        <v>494</v>
      </c>
      <c r="B80" s="1" t="s">
        <v>495</v>
      </c>
      <c r="C80" s="2">
        <v>28159</v>
      </c>
      <c r="D80" s="1" t="s">
        <v>197</v>
      </c>
      <c r="E80">
        <v>5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0E2E4-C288-4BA1-BA49-B1BAEDE2F79E}">
  <dimension ref="A1:C89"/>
  <sheetViews>
    <sheetView workbookViewId="0">
      <selection activeCell="A2" sqref="A2"/>
    </sheetView>
  </sheetViews>
  <sheetFormatPr baseColWidth="10" defaultRowHeight="14.4" x14ac:dyDescent="0.3"/>
  <cols>
    <col min="1" max="1" width="8.5546875" customWidth="1"/>
    <col min="2" max="2" width="43.6640625" bestFit="1" customWidth="1"/>
    <col min="3" max="3" width="8.21875" customWidth="1"/>
  </cols>
  <sheetData>
    <row r="1" spans="1:3" x14ac:dyDescent="0.3">
      <c r="A1" t="s">
        <v>498</v>
      </c>
      <c r="B1" t="s">
        <v>514</v>
      </c>
      <c r="C1" t="s">
        <v>509</v>
      </c>
    </row>
    <row r="2" spans="1:3" x14ac:dyDescent="0.3">
      <c r="A2" t="s">
        <v>22</v>
      </c>
      <c r="B2" t="s">
        <v>23</v>
      </c>
      <c r="C2" t="s">
        <v>24</v>
      </c>
    </row>
    <row r="3" spans="1:3" x14ac:dyDescent="0.3">
      <c r="A3" t="s">
        <v>35</v>
      </c>
      <c r="B3" t="s">
        <v>36</v>
      </c>
      <c r="C3" t="s">
        <v>37</v>
      </c>
    </row>
    <row r="4" spans="1:3" x14ac:dyDescent="0.3">
      <c r="A4" t="s">
        <v>42</v>
      </c>
      <c r="B4" t="s">
        <v>43</v>
      </c>
      <c r="C4" t="s">
        <v>44</v>
      </c>
    </row>
    <row r="5" spans="1:3" x14ac:dyDescent="0.3">
      <c r="A5" t="s">
        <v>50</v>
      </c>
      <c r="B5" t="s">
        <v>51</v>
      </c>
      <c r="C5" t="s">
        <v>44</v>
      </c>
    </row>
    <row r="6" spans="1:3" x14ac:dyDescent="0.3">
      <c r="A6" t="s">
        <v>53</v>
      </c>
      <c r="B6" t="s">
        <v>54</v>
      </c>
      <c r="C6" t="s">
        <v>55</v>
      </c>
    </row>
    <row r="7" spans="1:3" x14ac:dyDescent="0.3">
      <c r="A7" t="s">
        <v>59</v>
      </c>
      <c r="B7" t="s">
        <v>60</v>
      </c>
      <c r="C7" t="s">
        <v>61</v>
      </c>
    </row>
    <row r="8" spans="1:3" x14ac:dyDescent="0.3">
      <c r="A8" t="s">
        <v>69</v>
      </c>
      <c r="B8" t="s">
        <v>70</v>
      </c>
      <c r="C8" t="s">
        <v>71</v>
      </c>
    </row>
    <row r="9" spans="1:3" x14ac:dyDescent="0.3">
      <c r="A9" t="s">
        <v>76</v>
      </c>
      <c r="B9" t="s">
        <v>77</v>
      </c>
      <c r="C9" t="s">
        <v>78</v>
      </c>
    </row>
    <row r="10" spans="1:3" x14ac:dyDescent="0.3">
      <c r="A10" t="s">
        <v>80</v>
      </c>
      <c r="B10" t="s">
        <v>81</v>
      </c>
      <c r="C10" t="s">
        <v>82</v>
      </c>
    </row>
    <row r="11" spans="1:3" x14ac:dyDescent="0.3">
      <c r="A11" t="s">
        <v>89</v>
      </c>
      <c r="B11" t="s">
        <v>90</v>
      </c>
      <c r="C11" t="s">
        <v>91</v>
      </c>
    </row>
    <row r="12" spans="1:3" x14ac:dyDescent="0.3">
      <c r="A12" t="s">
        <v>95</v>
      </c>
      <c r="B12" t="s">
        <v>96</v>
      </c>
      <c r="C12" t="s">
        <v>97</v>
      </c>
    </row>
    <row r="13" spans="1:3" x14ac:dyDescent="0.3">
      <c r="A13" t="s">
        <v>100</v>
      </c>
      <c r="B13" t="s">
        <v>101</v>
      </c>
      <c r="C13" t="s">
        <v>102</v>
      </c>
    </row>
    <row r="14" spans="1:3" x14ac:dyDescent="0.3">
      <c r="A14" t="s">
        <v>105</v>
      </c>
      <c r="B14" t="s">
        <v>106</v>
      </c>
      <c r="C14" t="s">
        <v>107</v>
      </c>
    </row>
    <row r="15" spans="1:3" x14ac:dyDescent="0.3">
      <c r="A15" t="s">
        <v>110</v>
      </c>
      <c r="B15" t="s">
        <v>111</v>
      </c>
      <c r="C15" t="s">
        <v>112</v>
      </c>
    </row>
    <row r="16" spans="1:3" x14ac:dyDescent="0.3">
      <c r="A16" t="s">
        <v>115</v>
      </c>
      <c r="B16" t="s">
        <v>116</v>
      </c>
      <c r="C16" t="s">
        <v>117</v>
      </c>
    </row>
    <row r="17" spans="1:3" x14ac:dyDescent="0.3">
      <c r="A17" t="s">
        <v>121</v>
      </c>
      <c r="B17" t="s">
        <v>122</v>
      </c>
      <c r="C17" t="s">
        <v>117</v>
      </c>
    </row>
    <row r="18" spans="1:3" x14ac:dyDescent="0.3">
      <c r="A18" t="s">
        <v>124</v>
      </c>
      <c r="B18" t="s">
        <v>125</v>
      </c>
      <c r="C18" t="s">
        <v>126</v>
      </c>
    </row>
    <row r="19" spans="1:3" x14ac:dyDescent="0.3">
      <c r="A19" t="s">
        <v>130</v>
      </c>
      <c r="B19" t="s">
        <v>131</v>
      </c>
      <c r="C19" t="s">
        <v>132</v>
      </c>
    </row>
    <row r="20" spans="1:3" x14ac:dyDescent="0.3">
      <c r="A20" t="s">
        <v>135</v>
      </c>
      <c r="B20" t="s">
        <v>136</v>
      </c>
      <c r="C20" t="s">
        <v>137</v>
      </c>
    </row>
    <row r="21" spans="1:3" x14ac:dyDescent="0.3">
      <c r="A21" t="s">
        <v>140</v>
      </c>
      <c r="B21" t="s">
        <v>141</v>
      </c>
      <c r="C21" t="s">
        <v>142</v>
      </c>
    </row>
    <row r="22" spans="1:3" x14ac:dyDescent="0.3">
      <c r="A22" t="s">
        <v>145</v>
      </c>
      <c r="B22" t="s">
        <v>146</v>
      </c>
      <c r="C22" t="s">
        <v>147</v>
      </c>
    </row>
    <row r="23" spans="1:3" x14ac:dyDescent="0.3">
      <c r="A23" t="s">
        <v>155</v>
      </c>
      <c r="B23" t="s">
        <v>156</v>
      </c>
      <c r="C23" t="s">
        <v>157</v>
      </c>
    </row>
    <row r="24" spans="1:3" x14ac:dyDescent="0.3">
      <c r="A24" t="s">
        <v>160</v>
      </c>
      <c r="B24" t="s">
        <v>161</v>
      </c>
      <c r="C24" t="s">
        <v>157</v>
      </c>
    </row>
    <row r="25" spans="1:3" x14ac:dyDescent="0.3">
      <c r="A25" t="s">
        <v>164</v>
      </c>
      <c r="B25" t="s">
        <v>165</v>
      </c>
      <c r="C25" t="s">
        <v>166</v>
      </c>
    </row>
    <row r="26" spans="1:3" x14ac:dyDescent="0.3">
      <c r="A26" t="s">
        <v>169</v>
      </c>
      <c r="B26" t="s">
        <v>170</v>
      </c>
      <c r="C26" t="s">
        <v>171</v>
      </c>
    </row>
    <row r="27" spans="1:3" x14ac:dyDescent="0.3">
      <c r="A27" t="s">
        <v>174</v>
      </c>
      <c r="B27" t="s">
        <v>175</v>
      </c>
      <c r="C27" t="s">
        <v>176</v>
      </c>
    </row>
    <row r="28" spans="1:3" x14ac:dyDescent="0.3">
      <c r="A28" t="s">
        <v>179</v>
      </c>
      <c r="B28" t="s">
        <v>180</v>
      </c>
      <c r="C28" t="s">
        <v>181</v>
      </c>
    </row>
    <row r="29" spans="1:3" x14ac:dyDescent="0.3">
      <c r="A29" t="s">
        <v>184</v>
      </c>
      <c r="B29" t="s">
        <v>185</v>
      </c>
      <c r="C29" t="s">
        <v>186</v>
      </c>
    </row>
    <row r="30" spans="1:3" x14ac:dyDescent="0.3">
      <c r="A30" t="s">
        <v>190</v>
      </c>
      <c r="B30" t="s">
        <v>191</v>
      </c>
      <c r="C30" t="s">
        <v>186</v>
      </c>
    </row>
    <row r="31" spans="1:3" x14ac:dyDescent="0.3">
      <c r="A31" t="s">
        <v>193</v>
      </c>
      <c r="B31" t="s">
        <v>194</v>
      </c>
      <c r="C31" t="s">
        <v>195</v>
      </c>
    </row>
    <row r="32" spans="1:3" x14ac:dyDescent="0.3">
      <c r="A32" t="s">
        <v>199</v>
      </c>
      <c r="B32" t="s">
        <v>200</v>
      </c>
      <c r="C32" t="s">
        <v>201</v>
      </c>
    </row>
    <row r="33" spans="1:3" x14ac:dyDescent="0.3">
      <c r="A33" t="s">
        <v>205</v>
      </c>
      <c r="B33" t="s">
        <v>206</v>
      </c>
      <c r="C33" t="s">
        <v>207</v>
      </c>
    </row>
    <row r="34" spans="1:3" x14ac:dyDescent="0.3">
      <c r="A34" t="s">
        <v>211</v>
      </c>
      <c r="B34" t="s">
        <v>212</v>
      </c>
      <c r="C34" t="s">
        <v>213</v>
      </c>
    </row>
    <row r="35" spans="1:3" x14ac:dyDescent="0.3">
      <c r="A35" t="s">
        <v>216</v>
      </c>
      <c r="B35" t="s">
        <v>217</v>
      </c>
      <c r="C35" t="s">
        <v>218</v>
      </c>
    </row>
    <row r="36" spans="1:3" x14ac:dyDescent="0.3">
      <c r="A36" t="s">
        <v>221</v>
      </c>
      <c r="B36" t="s">
        <v>222</v>
      </c>
      <c r="C36" t="s">
        <v>223</v>
      </c>
    </row>
    <row r="37" spans="1:3" x14ac:dyDescent="0.3">
      <c r="A37" t="s">
        <v>227</v>
      </c>
      <c r="B37" t="s">
        <v>228</v>
      </c>
      <c r="C37" t="s">
        <v>229</v>
      </c>
    </row>
    <row r="38" spans="1:3" x14ac:dyDescent="0.3">
      <c r="A38" t="s">
        <v>232</v>
      </c>
      <c r="B38" t="s">
        <v>233</v>
      </c>
      <c r="C38" t="s">
        <v>234</v>
      </c>
    </row>
    <row r="39" spans="1:3" x14ac:dyDescent="0.3">
      <c r="A39" t="s">
        <v>238</v>
      </c>
      <c r="B39" t="s">
        <v>239</v>
      </c>
      <c r="C39" t="s">
        <v>240</v>
      </c>
    </row>
    <row r="40" spans="1:3" x14ac:dyDescent="0.3">
      <c r="A40" t="s">
        <v>244</v>
      </c>
      <c r="B40" t="s">
        <v>245</v>
      </c>
      <c r="C40" t="s">
        <v>246</v>
      </c>
    </row>
    <row r="41" spans="1:3" x14ac:dyDescent="0.3">
      <c r="A41" t="s">
        <v>249</v>
      </c>
      <c r="B41" t="s">
        <v>250</v>
      </c>
      <c r="C41" t="s">
        <v>251</v>
      </c>
    </row>
    <row r="42" spans="1:3" x14ac:dyDescent="0.3">
      <c r="A42" t="s">
        <v>254</v>
      </c>
      <c r="B42" t="s">
        <v>255</v>
      </c>
      <c r="C42" t="s">
        <v>256</v>
      </c>
    </row>
    <row r="43" spans="1:3" x14ac:dyDescent="0.3">
      <c r="A43" t="s">
        <v>259</v>
      </c>
      <c r="B43" t="s">
        <v>260</v>
      </c>
      <c r="C43" t="s">
        <v>261</v>
      </c>
    </row>
    <row r="44" spans="1:3" x14ac:dyDescent="0.3">
      <c r="A44" t="s">
        <v>264</v>
      </c>
      <c r="B44" t="s">
        <v>265</v>
      </c>
      <c r="C44" t="s">
        <v>266</v>
      </c>
    </row>
    <row r="45" spans="1:3" x14ac:dyDescent="0.3">
      <c r="A45" t="s">
        <v>270</v>
      </c>
      <c r="B45" t="s">
        <v>271</v>
      </c>
      <c r="C45" t="s">
        <v>272</v>
      </c>
    </row>
    <row r="46" spans="1:3" x14ac:dyDescent="0.3">
      <c r="A46" t="s">
        <v>275</v>
      </c>
      <c r="B46" t="s">
        <v>276</v>
      </c>
      <c r="C46" t="s">
        <v>277</v>
      </c>
    </row>
    <row r="47" spans="1:3" x14ac:dyDescent="0.3">
      <c r="A47" t="s">
        <v>280</v>
      </c>
      <c r="B47" t="s">
        <v>281</v>
      </c>
      <c r="C47" t="s">
        <v>277</v>
      </c>
    </row>
    <row r="48" spans="1:3" x14ac:dyDescent="0.3">
      <c r="A48" t="s">
        <v>283</v>
      </c>
      <c r="B48" t="s">
        <v>284</v>
      </c>
      <c r="C48" t="s">
        <v>285</v>
      </c>
    </row>
    <row r="49" spans="1:3" x14ac:dyDescent="0.3">
      <c r="A49" t="s">
        <v>288</v>
      </c>
      <c r="B49" t="s">
        <v>289</v>
      </c>
      <c r="C49" t="s">
        <v>290</v>
      </c>
    </row>
    <row r="50" spans="1:3" x14ac:dyDescent="0.3">
      <c r="A50" t="s">
        <v>293</v>
      </c>
      <c r="B50" t="s">
        <v>294</v>
      </c>
      <c r="C50" t="s">
        <v>295</v>
      </c>
    </row>
    <row r="51" spans="1:3" x14ac:dyDescent="0.3">
      <c r="A51" t="s">
        <v>298</v>
      </c>
      <c r="B51" t="s">
        <v>299</v>
      </c>
      <c r="C51" t="s">
        <v>300</v>
      </c>
    </row>
    <row r="52" spans="1:3" x14ac:dyDescent="0.3">
      <c r="A52" t="s">
        <v>303</v>
      </c>
      <c r="B52" t="s">
        <v>304</v>
      </c>
      <c r="C52" t="s">
        <v>300</v>
      </c>
    </row>
    <row r="53" spans="1:3" x14ac:dyDescent="0.3">
      <c r="A53" t="s">
        <v>306</v>
      </c>
      <c r="B53" t="s">
        <v>307</v>
      </c>
      <c r="C53" t="s">
        <v>308</v>
      </c>
    </row>
    <row r="54" spans="1:3" x14ac:dyDescent="0.3">
      <c r="A54" t="s">
        <v>312</v>
      </c>
      <c r="B54" t="s">
        <v>313</v>
      </c>
      <c r="C54" t="s">
        <v>314</v>
      </c>
    </row>
    <row r="55" spans="1:3" x14ac:dyDescent="0.3">
      <c r="A55" t="s">
        <v>317</v>
      </c>
      <c r="B55" t="s">
        <v>318</v>
      </c>
      <c r="C55" t="s">
        <v>319</v>
      </c>
    </row>
    <row r="56" spans="1:3" x14ac:dyDescent="0.3">
      <c r="A56" t="s">
        <v>322</v>
      </c>
      <c r="B56" t="s">
        <v>323</v>
      </c>
      <c r="C56" t="s">
        <v>324</v>
      </c>
    </row>
    <row r="57" spans="1:3" x14ac:dyDescent="0.3">
      <c r="A57" t="s">
        <v>327</v>
      </c>
      <c r="B57" t="s">
        <v>328</v>
      </c>
      <c r="C57" t="s">
        <v>324</v>
      </c>
    </row>
    <row r="58" spans="1:3" x14ac:dyDescent="0.3">
      <c r="A58" t="s">
        <v>330</v>
      </c>
      <c r="B58" t="s">
        <v>331</v>
      </c>
      <c r="C58" t="s">
        <v>332</v>
      </c>
    </row>
    <row r="59" spans="1:3" x14ac:dyDescent="0.3">
      <c r="A59" t="s">
        <v>336</v>
      </c>
      <c r="B59" t="s">
        <v>337</v>
      </c>
      <c r="C59" t="s">
        <v>338</v>
      </c>
    </row>
    <row r="60" spans="1:3" x14ac:dyDescent="0.3">
      <c r="A60" t="s">
        <v>342</v>
      </c>
      <c r="B60" t="s">
        <v>343</v>
      </c>
      <c r="C60" t="s">
        <v>344</v>
      </c>
    </row>
    <row r="61" spans="1:3" x14ac:dyDescent="0.3">
      <c r="A61" t="s">
        <v>347</v>
      </c>
      <c r="B61" t="s">
        <v>348</v>
      </c>
      <c r="C61" t="s">
        <v>349</v>
      </c>
    </row>
    <row r="62" spans="1:3" x14ac:dyDescent="0.3">
      <c r="A62" t="s">
        <v>352</v>
      </c>
      <c r="B62" t="s">
        <v>353</v>
      </c>
      <c r="C62" t="s">
        <v>354</v>
      </c>
    </row>
    <row r="63" spans="1:3" x14ac:dyDescent="0.3">
      <c r="A63" t="s">
        <v>358</v>
      </c>
      <c r="B63" t="s">
        <v>359</v>
      </c>
      <c r="C63" t="s">
        <v>360</v>
      </c>
    </row>
    <row r="64" spans="1:3" x14ac:dyDescent="0.3">
      <c r="A64" t="s">
        <v>363</v>
      </c>
      <c r="B64" t="s">
        <v>364</v>
      </c>
      <c r="C64" t="s">
        <v>365</v>
      </c>
    </row>
    <row r="65" spans="1:3" x14ac:dyDescent="0.3">
      <c r="A65" t="s">
        <v>369</v>
      </c>
      <c r="B65" t="s">
        <v>370</v>
      </c>
      <c r="C65" t="s">
        <v>371</v>
      </c>
    </row>
    <row r="66" spans="1:3" x14ac:dyDescent="0.3">
      <c r="A66" t="s">
        <v>374</v>
      </c>
      <c r="B66" t="s">
        <v>375</v>
      </c>
      <c r="C66" t="s">
        <v>371</v>
      </c>
    </row>
    <row r="67" spans="1:3" x14ac:dyDescent="0.3">
      <c r="A67" t="s">
        <v>377</v>
      </c>
      <c r="B67" t="s">
        <v>378</v>
      </c>
      <c r="C67" t="s">
        <v>379</v>
      </c>
    </row>
    <row r="68" spans="1:3" x14ac:dyDescent="0.3">
      <c r="A68" t="s">
        <v>382</v>
      </c>
      <c r="B68" t="s">
        <v>383</v>
      </c>
      <c r="C68" t="s">
        <v>384</v>
      </c>
    </row>
    <row r="69" spans="1:3" x14ac:dyDescent="0.3">
      <c r="A69" t="s">
        <v>389</v>
      </c>
      <c r="B69" t="s">
        <v>390</v>
      </c>
      <c r="C69" t="s">
        <v>391</v>
      </c>
    </row>
    <row r="70" spans="1:3" x14ac:dyDescent="0.3">
      <c r="A70" t="s">
        <v>393</v>
      </c>
      <c r="B70" t="s">
        <v>394</v>
      </c>
      <c r="C70" t="s">
        <v>395</v>
      </c>
    </row>
    <row r="71" spans="1:3" x14ac:dyDescent="0.3">
      <c r="A71" t="s">
        <v>398</v>
      </c>
      <c r="B71" t="s">
        <v>399</v>
      </c>
      <c r="C71" t="s">
        <v>400</v>
      </c>
    </row>
    <row r="72" spans="1:3" x14ac:dyDescent="0.3">
      <c r="A72" t="s">
        <v>404</v>
      </c>
      <c r="B72" t="s">
        <v>405</v>
      </c>
      <c r="C72" t="s">
        <v>406</v>
      </c>
    </row>
    <row r="73" spans="1:3" x14ac:dyDescent="0.3">
      <c r="A73" t="s">
        <v>409</v>
      </c>
      <c r="B73" t="s">
        <v>410</v>
      </c>
      <c r="C73" t="s">
        <v>411</v>
      </c>
    </row>
    <row r="74" spans="1:3" x14ac:dyDescent="0.3">
      <c r="A74" t="s">
        <v>414</v>
      </c>
      <c r="B74" t="s">
        <v>415</v>
      </c>
      <c r="C74" t="s">
        <v>416</v>
      </c>
    </row>
    <row r="75" spans="1:3" x14ac:dyDescent="0.3">
      <c r="A75" t="s">
        <v>420</v>
      </c>
      <c r="B75" t="s">
        <v>421</v>
      </c>
      <c r="C75" t="s">
        <v>422</v>
      </c>
    </row>
    <row r="76" spans="1:3" x14ac:dyDescent="0.3">
      <c r="A76" t="s">
        <v>426</v>
      </c>
      <c r="B76" t="s">
        <v>427</v>
      </c>
      <c r="C76" t="s">
        <v>428</v>
      </c>
    </row>
    <row r="77" spans="1:3" x14ac:dyDescent="0.3">
      <c r="A77" t="s">
        <v>431</v>
      </c>
      <c r="B77" t="s">
        <v>432</v>
      </c>
      <c r="C77" t="s">
        <v>433</v>
      </c>
    </row>
    <row r="78" spans="1:3" x14ac:dyDescent="0.3">
      <c r="A78" t="s">
        <v>436</v>
      </c>
      <c r="B78" t="s">
        <v>437</v>
      </c>
      <c r="C78" t="s">
        <v>438</v>
      </c>
    </row>
    <row r="79" spans="1:3" x14ac:dyDescent="0.3">
      <c r="A79" t="s">
        <v>441</v>
      </c>
      <c r="B79" t="s">
        <v>442</v>
      </c>
      <c r="C79" t="s">
        <v>443</v>
      </c>
    </row>
    <row r="80" spans="1:3" x14ac:dyDescent="0.3">
      <c r="A80" t="s">
        <v>446</v>
      </c>
      <c r="B80" t="s">
        <v>447</v>
      </c>
      <c r="C80" t="s">
        <v>448</v>
      </c>
    </row>
    <row r="81" spans="1:3" x14ac:dyDescent="0.3">
      <c r="A81" t="s">
        <v>451</v>
      </c>
      <c r="B81" t="s">
        <v>452</v>
      </c>
      <c r="C81" t="s">
        <v>453</v>
      </c>
    </row>
    <row r="82" spans="1:3" x14ac:dyDescent="0.3">
      <c r="A82" t="s">
        <v>456</v>
      </c>
      <c r="B82" t="s">
        <v>457</v>
      </c>
      <c r="C82" t="s">
        <v>453</v>
      </c>
    </row>
    <row r="83" spans="1:3" x14ac:dyDescent="0.3">
      <c r="A83" t="s">
        <v>460</v>
      </c>
      <c r="B83" t="s">
        <v>461</v>
      </c>
      <c r="C83" t="s">
        <v>462</v>
      </c>
    </row>
    <row r="84" spans="1:3" x14ac:dyDescent="0.3">
      <c r="A84" t="s">
        <v>465</v>
      </c>
      <c r="B84" t="s">
        <v>466</v>
      </c>
      <c r="C84" t="s">
        <v>467</v>
      </c>
    </row>
    <row r="85" spans="1:3" x14ac:dyDescent="0.3">
      <c r="A85" t="s">
        <v>470</v>
      </c>
      <c r="B85" t="s">
        <v>471</v>
      </c>
      <c r="C85" t="s">
        <v>472</v>
      </c>
    </row>
    <row r="86" spans="1:3" x14ac:dyDescent="0.3">
      <c r="A86" t="s">
        <v>475</v>
      </c>
      <c r="B86" t="s">
        <v>476</v>
      </c>
      <c r="C86" t="s">
        <v>477</v>
      </c>
    </row>
    <row r="87" spans="1:3" x14ac:dyDescent="0.3">
      <c r="A87" t="s">
        <v>480</v>
      </c>
      <c r="B87" t="s">
        <v>481</v>
      </c>
      <c r="C87" t="s">
        <v>482</v>
      </c>
    </row>
    <row r="88" spans="1:3" x14ac:dyDescent="0.3">
      <c r="A88" t="s">
        <v>485</v>
      </c>
      <c r="B88" t="s">
        <v>486</v>
      </c>
      <c r="C88" t="s">
        <v>487</v>
      </c>
    </row>
    <row r="89" spans="1:3" x14ac:dyDescent="0.3">
      <c r="A89" t="s">
        <v>492</v>
      </c>
      <c r="B89" t="s">
        <v>493</v>
      </c>
      <c r="C89" t="s">
        <v>494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C3BA-57B6-435A-8899-A8356B6790B0}">
  <dimension ref="A1:F5"/>
  <sheetViews>
    <sheetView workbookViewId="0">
      <selection activeCell="G19" sqref="G19"/>
    </sheetView>
  </sheetViews>
  <sheetFormatPr baseColWidth="10" defaultRowHeight="14.4" x14ac:dyDescent="0.3"/>
  <cols>
    <col min="1" max="1" width="8.21875" bestFit="1" customWidth="1"/>
    <col min="2" max="2" width="20.33203125" bestFit="1" customWidth="1"/>
    <col min="3" max="3" width="11.88671875" bestFit="1" customWidth="1"/>
    <col min="4" max="4" width="10.44140625" bestFit="1" customWidth="1"/>
    <col min="5" max="5" width="11.33203125" bestFit="1" customWidth="1"/>
    <col min="6" max="6" width="17" bestFit="1" customWidth="1"/>
  </cols>
  <sheetData>
    <row r="1" spans="1:6" x14ac:dyDescent="0.3">
      <c r="A1" t="s">
        <v>499</v>
      </c>
      <c r="B1" t="s">
        <v>515</v>
      </c>
      <c r="C1" t="s">
        <v>516</v>
      </c>
      <c r="D1" t="s">
        <v>518</v>
      </c>
      <c r="E1" t="s">
        <v>517</v>
      </c>
      <c r="F1" t="s">
        <v>519</v>
      </c>
    </row>
    <row r="2" spans="1:6" x14ac:dyDescent="0.3">
      <c r="A2" s="1" t="s">
        <v>30</v>
      </c>
      <c r="B2" s="1" t="s">
        <v>31</v>
      </c>
      <c r="C2" s="1" t="s">
        <v>32</v>
      </c>
      <c r="D2" s="1" t="s">
        <v>33</v>
      </c>
      <c r="E2" s="1" t="s">
        <v>34</v>
      </c>
      <c r="F2">
        <v>2022</v>
      </c>
    </row>
    <row r="3" spans="1:6" x14ac:dyDescent="0.3">
      <c r="A3" s="1" t="s">
        <v>64</v>
      </c>
      <c r="B3" s="1" t="s">
        <v>65</v>
      </c>
      <c r="C3" s="1" t="s">
        <v>66</v>
      </c>
      <c r="D3" s="1" t="s">
        <v>67</v>
      </c>
      <c r="E3" s="1" t="s">
        <v>39</v>
      </c>
      <c r="F3">
        <v>1969</v>
      </c>
    </row>
    <row r="4" spans="1:6" x14ac:dyDescent="0.3">
      <c r="A4" s="1" t="s">
        <v>86</v>
      </c>
      <c r="B4" s="1" t="s">
        <v>87</v>
      </c>
      <c r="C4" s="1" t="s">
        <v>88</v>
      </c>
      <c r="D4" s="1" t="s">
        <v>67</v>
      </c>
      <c r="E4" s="1" t="s">
        <v>39</v>
      </c>
      <c r="F4">
        <v>1986</v>
      </c>
    </row>
    <row r="5" spans="1:6" x14ac:dyDescent="0.3">
      <c r="A5" s="1" t="s">
        <v>150</v>
      </c>
      <c r="B5" s="1" t="s">
        <v>151</v>
      </c>
      <c r="C5" s="1" t="s">
        <v>152</v>
      </c>
      <c r="D5" s="1" t="s">
        <v>153</v>
      </c>
      <c r="E5" s="1" t="s">
        <v>154</v>
      </c>
      <c r="F5">
        <v>2003</v>
      </c>
    </row>
  </sheetData>
  <pageMargins left="0.7" right="0.7" top="0.78740157499999996" bottom="0.78740157499999996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A950F61-C0CA-45D4-9D5C-D56E24A5558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Bookshop</vt:lpstr>
      <vt:lpstr>ERD</vt:lpstr>
      <vt:lpstr>Book_Edition</vt:lpstr>
      <vt:lpstr>Award</vt:lpstr>
      <vt:lpstr>Author</vt:lpstr>
      <vt:lpstr>Book</vt:lpstr>
      <vt:lpstr>Publisher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Mengni Zhang</dc:creator>
  <cp:lastModifiedBy>Mengni Zhang</cp:lastModifiedBy>
  <dcterms:created xsi:type="dcterms:W3CDTF">2025-09-12T17:35:05Z</dcterms:created>
  <dcterms:modified xsi:type="dcterms:W3CDTF">2025-09-12T18:35:19Z</dcterms:modified>
</cp:coreProperties>
</file>