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SI\Excel\Woche4\"/>
    </mc:Choice>
  </mc:AlternateContent>
  <xr:revisionPtr revIDLastSave="0" documentId="13_ncr:1_{0F01E81D-10D1-48B9-A51F-985BC1B2008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en" sheetId="2" r:id="rId1"/>
    <sheet name="Termin" sheetId="5" r:id="rId2"/>
    <sheet name="Krankenhaus" sheetId="6" r:id="rId3"/>
    <sheet name="Patient" sheetId="4" r:id="rId4"/>
    <sheet name="Arzte" sheetId="3" r:id="rId5"/>
    <sheet name="ERD_Tabl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7" l="1" a="1"/>
  <c r="G7" i="7" s="1"/>
  <c r="C7" i="7" a="1"/>
  <c r="C7" i="7" s="1"/>
  <c r="G14" i="7" a="1"/>
  <c r="G14" i="7" s="1"/>
  <c r="C14" i="7" a="1"/>
  <c r="C1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<sst xmlns="http://schemas.openxmlformats.org/spreadsheetml/2006/main" count="183" uniqueCount="60">
  <si>
    <t>Patient_ID</t>
  </si>
  <si>
    <t>Patient_Vorname</t>
  </si>
  <si>
    <t>Patient_Nachname</t>
  </si>
  <si>
    <t>Termin_ID</t>
  </si>
  <si>
    <t>Termin_Datum</t>
  </si>
  <si>
    <t>Krankenhaus_ID</t>
  </si>
  <si>
    <t>Krankenhaus</t>
  </si>
  <si>
    <t>Krankenhaus_Stadt</t>
  </si>
  <si>
    <t>Harry</t>
  </si>
  <si>
    <t>Verill</t>
  </si>
  <si>
    <t>Marly</t>
  </si>
  <si>
    <t>Karli</t>
  </si>
  <si>
    <t>Vivantes</t>
  </si>
  <si>
    <t>Berlin</t>
  </si>
  <si>
    <t>Rane</t>
  </si>
  <si>
    <t>Matti</t>
  </si>
  <si>
    <t>Willma</t>
  </si>
  <si>
    <t>Hildy</t>
  </si>
  <si>
    <t>Rayne</t>
  </si>
  <si>
    <t>Cara</t>
  </si>
  <si>
    <t>Donau-Ries</t>
  </si>
  <si>
    <t>Bayern</t>
  </si>
  <si>
    <t>Burg</t>
  </si>
  <si>
    <t>Billie</t>
  </si>
  <si>
    <t>Bartha</t>
  </si>
  <si>
    <t>Gisela</t>
  </si>
  <si>
    <t>Porche</t>
  </si>
  <si>
    <t>Asklepios</t>
  </si>
  <si>
    <t>Hamburg</t>
  </si>
  <si>
    <t>Arzt_ID</t>
  </si>
  <si>
    <t>Arzt_Vorname</t>
  </si>
  <si>
    <t>Arzt_Nachname</t>
  </si>
  <si>
    <t>Aufgabe: Normalisierung von Daten</t>
  </si>
  <si>
    <t>Normalisiere folgende Daten so weit wie möglich. Erstelle für jede Entität eine separate Tabelle und eine Relationstabelle, die die Beziehungen zwischen den Entitäten darstellt.</t>
  </si>
  <si>
    <t>Johann</t>
  </si>
  <si>
    <t>Schmidt</t>
  </si>
  <si>
    <t>Laura</t>
  </si>
  <si>
    <t>Meister</t>
  </si>
  <si>
    <t>Tom</t>
  </si>
  <si>
    <t>Müller</t>
  </si>
  <si>
    <t>Felix</t>
  </si>
  <si>
    <t>Wagner</t>
  </si>
  <si>
    <t>Charité</t>
  </si>
  <si>
    <t>Anna</t>
  </si>
  <si>
    <t>Mayer</t>
  </si>
  <si>
    <t>Niels</t>
  </si>
  <si>
    <t>Gruber</t>
  </si>
  <si>
    <t>Lukas</t>
  </si>
  <si>
    <t>Klein</t>
  </si>
  <si>
    <t>Sophie</t>
  </si>
  <si>
    <t>Berg</t>
  </si>
  <si>
    <t>Karl</t>
  </si>
  <si>
    <t>Entity Relationship Diagram</t>
  </si>
  <si>
    <t>Termin</t>
  </si>
  <si>
    <t>PK</t>
  </si>
  <si>
    <t>Patient</t>
  </si>
  <si>
    <t>Arzt</t>
  </si>
  <si>
    <t>FK</t>
  </si>
  <si>
    <t>integer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</si>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</sst>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2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Fill="1" applyBorder="1"/>
  </cellXfs>
  <cellStyles count="1">
    <cellStyle name="Standard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Daten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6</xdr:row>
      <xdr:rowOff>91440</xdr:rowOff>
    </xdr:from>
    <xdr:to>
      <xdr:col>4</xdr:col>
      <xdr:colOff>739140</xdr:colOff>
      <xdr:row>7</xdr:row>
      <xdr:rowOff>106680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04E2A84A-0365-3376-91AB-A56C87D828CA}"/>
            </a:ext>
          </a:extLst>
        </xdr:cNvPr>
        <xdr:cNvCxnSpPr/>
      </xdr:nvCxnSpPr>
      <xdr:spPr>
        <a:xfrm flipV="1">
          <a:off x="3223260" y="1188720"/>
          <a:ext cx="71628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899160</xdr:colOff>
      <xdr:row>9</xdr:row>
      <xdr:rowOff>7620</xdr:rowOff>
    </xdr:from>
    <xdr:to>
      <xdr:col>4</xdr:col>
      <xdr:colOff>769620</xdr:colOff>
      <xdr:row>13</xdr:row>
      <xdr:rowOff>91440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2BEAE828-4678-B4E5-7D62-737B732BE3D2}"/>
            </a:ext>
          </a:extLst>
        </xdr:cNvPr>
        <xdr:cNvCxnSpPr/>
      </xdr:nvCxnSpPr>
      <xdr:spPr>
        <a:xfrm>
          <a:off x="3162300" y="1607820"/>
          <a:ext cx="807720" cy="754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</xdr:colOff>
      <xdr:row>9</xdr:row>
      <xdr:rowOff>99060</xdr:rowOff>
    </xdr:from>
    <xdr:to>
      <xdr:col>4</xdr:col>
      <xdr:colOff>762000</xdr:colOff>
      <xdr:row>13</xdr:row>
      <xdr:rowOff>76200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13FFA622-2BAC-75F0-3106-DF1076A12CFD}"/>
            </a:ext>
          </a:extLst>
        </xdr:cNvPr>
        <xdr:cNvCxnSpPr/>
      </xdr:nvCxnSpPr>
      <xdr:spPr>
        <a:xfrm flipH="1">
          <a:off x="3215640" y="1699260"/>
          <a:ext cx="746760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8EC776-BB51-4AB5-A3B6-8B01C56B50DC}" name="Tabelle4" displayName="Tabelle4" ref="A5:K20" totalsRowShown="0" headerRowDxfId="12" dataDxfId="11">
  <autoFilter ref="A5:K20" xr:uid="{248EC776-BB51-4AB5-A3B6-8B01C56B50DC}"/>
  <tableColumns count="11">
    <tableColumn id="1" xr3:uid="{6E340793-B087-418D-BE8E-1FB7CF1918BF}" name="Arzt_ID" dataDxfId="10"/>
    <tableColumn id="2" xr3:uid="{1FA18384-D54F-488D-BD23-D5B863E0ECC8}" name="Arzt_Vorname" dataDxfId="9"/>
    <tableColumn id="3" xr3:uid="{A7D8A009-BE6F-47BA-ADCE-4306F6CA7E40}" name="Arzt_Nachname" dataDxfId="8"/>
    <tableColumn id="4" xr3:uid="{D17AD89B-9345-43E7-A700-9375A620EDD5}" name="Patient_ID" dataDxfId="7"/>
    <tableColumn id="5" xr3:uid="{92B60681-13CB-4016-A459-440C93151EA4}" name="Patient_Vorname" dataDxfId="6"/>
    <tableColumn id="6" xr3:uid="{25963F1C-C80E-4B8A-9701-BF833E7F5123}" name="Patient_Nachname" dataDxfId="5"/>
    <tableColumn id="7" xr3:uid="{6CE7881E-DC96-4966-BBEE-FA3735ACF5D9}" name="Termin_ID" dataDxfId="4"/>
    <tableColumn id="8" xr3:uid="{53D60D63-D0D4-4AEE-8878-EDA4C9DD97F0}" name="Termin_Datum" dataDxfId="3"/>
    <tableColumn id="9" xr3:uid="{8F5A21A3-F70E-4021-B9F5-3C10FF8968A3}" name="Krankenhaus_ID" dataDxfId="2"/>
    <tableColumn id="10" xr3:uid="{BFEE8DFA-0087-4D7C-B278-69281B55D421}" name="Krankenhaus" dataDxfId="1"/>
    <tableColumn id="11" xr3:uid="{4D048C50-E63E-4D04-B62A-1CC6DE626750}" name="Krankenhaus_Stadt" dataDxfId="0"/>
  </tableColumns>
  <tableStyleInfo name="Daten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31C49F-9EE6-4BE7-A5C3-56A01C70ED97}" name="Tabelle8" displayName="Tabelle8" ref="A1:C16" totalsRowShown="0">
  <autoFilter ref="A1:C16" xr:uid="{3B31C49F-9EE6-4BE7-A5C3-56A01C70ED97}"/>
  <tableColumns count="3">
    <tableColumn id="1" xr3:uid="{0F81B649-F214-4644-9490-3D835EA2D3F0}" name="Termin_ID"/>
    <tableColumn id="2" xr3:uid="{6F621D1D-48F5-4E3A-A5B3-F48E3DF1D487}" name="Arzt_ID"/>
    <tableColumn id="3" xr3:uid="{02CABA2A-5922-4B46-BE70-47B55F4D9797}" name="Patient_ID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D46F83-6BC7-4A5C-AB8C-AE6957340B25}" name="Tabelle7" displayName="Tabelle7" ref="A1:C5" totalsRowShown="0">
  <autoFilter ref="A1:C5" xr:uid="{85D46F83-6BC7-4A5C-AB8C-AE6957340B25}"/>
  <tableColumns count="3">
    <tableColumn id="1" xr3:uid="{B1CB8412-1438-4B39-BADC-855CBE345891}" name="Krankenhaus_ID"/>
    <tableColumn id="2" xr3:uid="{7FC261B9-6DA8-4330-A1B8-ADF2F0E6AED3}" name="Krankenhaus"/>
    <tableColumn id="3" xr3:uid="{848875F7-126E-4506-9656-3DF17FC518B9}" name="Krankenhaus_Stad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DAE40D-A21B-4685-9C07-D83E98587645}" name="Tabelle9" displayName="Tabelle9" ref="A1:C12" totalsRowShown="0">
  <autoFilter ref="A1:C12" xr:uid="{1FDAE40D-A21B-4685-9C07-D83E98587645}"/>
  <tableColumns count="3">
    <tableColumn id="1" xr3:uid="{B80AEDE3-2ACF-411D-B2BE-F48975C3004E}" name="Patient_ID"/>
    <tableColumn id="2" xr3:uid="{EC0475A4-D3EA-43D6-91D9-60CFDAEB78E6}" name="Patient_Vorname"/>
    <tableColumn id="3" xr3:uid="{8BB00679-A4D0-4578-8E9D-6DB1EB43A9CA}" name="Patient_Nachnam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4CE285-6599-42FD-9532-F80DFC264602}" name="Tabelle6" displayName="Tabelle6" ref="A1:D7" totalsRowShown="0">
  <autoFilter ref="A1:D7" xr:uid="{434CE285-6599-42FD-9532-F80DFC264602}"/>
  <tableColumns count="4">
    <tableColumn id="1" xr3:uid="{4221476F-F36B-4640-8406-1CE087CAF52F}" name="Arzt_ID"/>
    <tableColumn id="2" xr3:uid="{F7ECC696-8CBD-4B81-A6F1-08D60C85047B}" name="Arzt_Vorname"/>
    <tableColumn id="3" xr3:uid="{581A346D-C993-4076-9B46-50D04B6CE7FE}" name="Arzt_Nachname"/>
    <tableColumn id="4" xr3:uid="{AA61F6B9-008B-4540-A11F-C331BBDAEB63}" name="Krankenhaus_I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FA53-6D60-4675-B083-D48DC602E651}">
  <dimension ref="A1:XFD41"/>
  <sheetViews>
    <sheetView zoomScale="70" zoomScaleNormal="70" workbookViewId="0">
      <selection activeCell="D26" sqref="D26"/>
    </sheetView>
  </sheetViews>
  <sheetFormatPr baseColWidth="10" defaultColWidth="24" defaultRowHeight="23.4" customHeight="1" x14ac:dyDescent="0.25"/>
  <cols>
    <col min="1" max="1" width="18.88671875" customWidth="1"/>
    <col min="2" max="2" width="18.5546875" customWidth="1"/>
    <col min="3" max="3" width="22.109375" customWidth="1"/>
    <col min="4" max="10" width="18.5546875" customWidth="1"/>
  </cols>
  <sheetData>
    <row r="1" spans="1:11" ht="23.4" customHeight="1" x14ac:dyDescent="0.4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.4" customHeight="1" x14ac:dyDescent="0.3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spans="1:11" ht="23.4" customHeight="1" x14ac:dyDescent="0.25">
      <c r="A5" s="8" t="s">
        <v>29</v>
      </c>
      <c r="B5" s="8" t="s">
        <v>30</v>
      </c>
      <c r="C5" s="8" t="s">
        <v>31</v>
      </c>
      <c r="D5" s="7" t="s">
        <v>0</v>
      </c>
      <c r="E5" s="7" t="s">
        <v>1</v>
      </c>
      <c r="F5" s="7" t="s">
        <v>2</v>
      </c>
      <c r="G5" s="5" t="s">
        <v>3</v>
      </c>
      <c r="H5" s="5" t="s">
        <v>4</v>
      </c>
      <c r="I5" s="4" t="s">
        <v>5</v>
      </c>
      <c r="J5" s="4" t="s">
        <v>6</v>
      </c>
      <c r="K5" s="4" t="s">
        <v>7</v>
      </c>
    </row>
    <row r="6" spans="1:11" ht="23.4" customHeight="1" x14ac:dyDescent="0.25">
      <c r="A6" s="3">
        <v>100</v>
      </c>
      <c r="B6" s="3" t="s">
        <v>8</v>
      </c>
      <c r="C6" s="3" t="s">
        <v>9</v>
      </c>
      <c r="D6" s="3">
        <v>53</v>
      </c>
      <c r="E6" s="3" t="s">
        <v>10</v>
      </c>
      <c r="F6" s="3" t="s">
        <v>11</v>
      </c>
      <c r="G6" s="3">
        <v>1543</v>
      </c>
      <c r="H6" s="3">
        <v>43931</v>
      </c>
      <c r="I6" s="3">
        <v>10</v>
      </c>
      <c r="J6" s="3" t="s">
        <v>12</v>
      </c>
      <c r="K6" s="3" t="s">
        <v>13</v>
      </c>
    </row>
    <row r="7" spans="1:11" ht="23.4" customHeight="1" x14ac:dyDescent="0.25">
      <c r="A7" s="3">
        <v>100</v>
      </c>
      <c r="B7" s="3" t="s">
        <v>8</v>
      </c>
      <c r="C7" s="3" t="s">
        <v>9</v>
      </c>
      <c r="D7" s="3">
        <v>53</v>
      </c>
      <c r="E7" s="3" t="s">
        <v>10</v>
      </c>
      <c r="F7" s="3" t="s">
        <v>11</v>
      </c>
      <c r="G7" s="3">
        <v>1264</v>
      </c>
      <c r="H7" s="3">
        <v>44072</v>
      </c>
      <c r="I7" s="3">
        <v>10</v>
      </c>
      <c r="J7" s="3" t="s">
        <v>12</v>
      </c>
      <c r="K7" s="3" t="s">
        <v>13</v>
      </c>
    </row>
    <row r="8" spans="1:11" ht="23.4" customHeight="1" x14ac:dyDescent="0.25">
      <c r="A8" s="3">
        <v>100</v>
      </c>
      <c r="B8" s="3" t="s">
        <v>8</v>
      </c>
      <c r="C8" s="3" t="s">
        <v>9</v>
      </c>
      <c r="D8" s="3">
        <v>57</v>
      </c>
      <c r="E8" s="3" t="s">
        <v>14</v>
      </c>
      <c r="F8" s="3" t="s">
        <v>15</v>
      </c>
      <c r="G8" s="3">
        <v>1907</v>
      </c>
      <c r="H8" s="3">
        <v>43501</v>
      </c>
      <c r="I8" s="3">
        <v>10</v>
      </c>
      <c r="J8" s="3" t="s">
        <v>12</v>
      </c>
      <c r="K8" s="3" t="s">
        <v>13</v>
      </c>
    </row>
    <row r="9" spans="1:11" ht="23.4" customHeight="1" x14ac:dyDescent="0.25">
      <c r="A9" s="3">
        <v>100</v>
      </c>
      <c r="B9" s="3" t="s">
        <v>8</v>
      </c>
      <c r="C9" s="3" t="s">
        <v>9</v>
      </c>
      <c r="D9" s="3">
        <v>61</v>
      </c>
      <c r="E9" s="3" t="s">
        <v>49</v>
      </c>
      <c r="F9" s="3" t="s">
        <v>50</v>
      </c>
      <c r="G9" s="3">
        <v>1547</v>
      </c>
      <c r="H9" s="3">
        <v>44764</v>
      </c>
      <c r="I9" s="3">
        <v>10</v>
      </c>
      <c r="J9" s="3" t="s">
        <v>12</v>
      </c>
      <c r="K9" s="3" t="s">
        <v>13</v>
      </c>
    </row>
    <row r="10" spans="1:11" ht="23.4" customHeight="1" x14ac:dyDescent="0.25">
      <c r="A10" s="3">
        <v>103</v>
      </c>
      <c r="B10" s="3" t="s">
        <v>16</v>
      </c>
      <c r="C10" s="3" t="s">
        <v>17</v>
      </c>
      <c r="D10" s="3">
        <v>66</v>
      </c>
      <c r="E10" s="3" t="s">
        <v>18</v>
      </c>
      <c r="F10" s="3" t="s">
        <v>19</v>
      </c>
      <c r="G10" s="3">
        <v>1084</v>
      </c>
      <c r="H10" s="3">
        <v>44383</v>
      </c>
      <c r="I10" s="3">
        <v>15</v>
      </c>
      <c r="J10" s="3" t="s">
        <v>20</v>
      </c>
      <c r="K10" s="3" t="s">
        <v>21</v>
      </c>
    </row>
    <row r="11" spans="1:11" ht="23.4" customHeight="1" x14ac:dyDescent="0.25">
      <c r="A11" s="3">
        <v>103</v>
      </c>
      <c r="B11" s="3" t="s">
        <v>16</v>
      </c>
      <c r="C11" s="3" t="s">
        <v>17</v>
      </c>
      <c r="D11" s="3">
        <v>64</v>
      </c>
      <c r="E11" s="3" t="s">
        <v>22</v>
      </c>
      <c r="F11" s="3" t="s">
        <v>23</v>
      </c>
      <c r="G11" s="3">
        <v>1683</v>
      </c>
      <c r="H11" s="3">
        <v>43907</v>
      </c>
      <c r="I11" s="3">
        <v>15</v>
      </c>
      <c r="J11" s="3" t="s">
        <v>20</v>
      </c>
      <c r="K11" s="3" t="s">
        <v>21</v>
      </c>
    </row>
    <row r="12" spans="1:11" ht="23.4" customHeight="1" x14ac:dyDescent="0.25">
      <c r="A12" s="3">
        <v>103</v>
      </c>
      <c r="B12" s="3" t="s">
        <v>16</v>
      </c>
      <c r="C12" s="3" t="s">
        <v>17</v>
      </c>
      <c r="D12" s="3">
        <v>62</v>
      </c>
      <c r="E12" s="3" t="s">
        <v>51</v>
      </c>
      <c r="F12" s="3" t="s">
        <v>35</v>
      </c>
      <c r="G12" s="3">
        <v>1688</v>
      </c>
      <c r="H12" s="3">
        <v>44066</v>
      </c>
      <c r="I12" s="3">
        <v>15</v>
      </c>
      <c r="J12" s="3" t="s">
        <v>20</v>
      </c>
      <c r="K12" s="3" t="s">
        <v>21</v>
      </c>
    </row>
    <row r="13" spans="1:11" ht="23.4" customHeight="1" x14ac:dyDescent="0.25">
      <c r="A13" s="3">
        <v>105</v>
      </c>
      <c r="B13" s="3" t="s">
        <v>24</v>
      </c>
      <c r="C13" s="3" t="s">
        <v>16</v>
      </c>
      <c r="D13" s="3">
        <v>44</v>
      </c>
      <c r="E13" s="3" t="s">
        <v>25</v>
      </c>
      <c r="F13" s="3" t="s">
        <v>26</v>
      </c>
      <c r="G13" s="3">
        <v>1088</v>
      </c>
      <c r="H13" s="3">
        <v>44458</v>
      </c>
      <c r="I13" s="3">
        <v>17</v>
      </c>
      <c r="J13" s="3" t="s">
        <v>27</v>
      </c>
      <c r="K13" s="3" t="s">
        <v>28</v>
      </c>
    </row>
    <row r="14" spans="1:11" ht="23.4" customHeight="1" x14ac:dyDescent="0.25">
      <c r="A14" s="3">
        <v>105</v>
      </c>
      <c r="B14" s="3" t="s">
        <v>24</v>
      </c>
      <c r="C14" s="3" t="s">
        <v>16</v>
      </c>
      <c r="D14" s="3">
        <v>48</v>
      </c>
      <c r="E14" s="3" t="s">
        <v>34</v>
      </c>
      <c r="F14" s="3" t="s">
        <v>35</v>
      </c>
      <c r="G14" s="3">
        <v>2021</v>
      </c>
      <c r="H14" s="3">
        <v>44525</v>
      </c>
      <c r="I14" s="3">
        <v>17</v>
      </c>
      <c r="J14" s="3" t="s">
        <v>27</v>
      </c>
      <c r="K14" s="3" t="s">
        <v>28</v>
      </c>
    </row>
    <row r="15" spans="1:11" ht="23.4" customHeight="1" x14ac:dyDescent="0.25">
      <c r="A15" s="3">
        <v>106</v>
      </c>
      <c r="B15" s="3" t="s">
        <v>36</v>
      </c>
      <c r="C15" s="3" t="s">
        <v>37</v>
      </c>
      <c r="D15" s="3">
        <v>49</v>
      </c>
      <c r="E15" s="3" t="s">
        <v>38</v>
      </c>
      <c r="F15" s="3" t="s">
        <v>39</v>
      </c>
      <c r="G15" s="3">
        <v>2124</v>
      </c>
      <c r="H15" s="3">
        <v>44623</v>
      </c>
      <c r="I15" s="3">
        <v>17</v>
      </c>
      <c r="J15" s="3" t="s">
        <v>27</v>
      </c>
      <c r="K15" s="3" t="s">
        <v>28</v>
      </c>
    </row>
    <row r="16" spans="1:11" ht="23.4" customHeight="1" x14ac:dyDescent="0.25">
      <c r="A16" s="3">
        <v>106</v>
      </c>
      <c r="B16" s="3" t="s">
        <v>36</v>
      </c>
      <c r="C16" s="3" t="s">
        <v>37</v>
      </c>
      <c r="D16" s="3">
        <v>53</v>
      </c>
      <c r="E16" s="3" t="s">
        <v>10</v>
      </c>
      <c r="F16" s="3" t="s">
        <v>11</v>
      </c>
      <c r="G16" s="3">
        <v>2128</v>
      </c>
      <c r="H16" s="3">
        <v>44775</v>
      </c>
      <c r="I16" s="3">
        <v>17</v>
      </c>
      <c r="J16" s="3" t="s">
        <v>27</v>
      </c>
      <c r="K16" s="3" t="s">
        <v>28</v>
      </c>
    </row>
    <row r="17" spans="1:11" ht="23.4" customHeight="1" x14ac:dyDescent="0.25">
      <c r="A17" s="3">
        <v>107</v>
      </c>
      <c r="B17" s="3" t="s">
        <v>40</v>
      </c>
      <c r="C17" s="3" t="s">
        <v>41</v>
      </c>
      <c r="D17" s="3">
        <v>57</v>
      </c>
      <c r="E17" s="3" t="s">
        <v>14</v>
      </c>
      <c r="F17" s="3" t="s">
        <v>15</v>
      </c>
      <c r="G17" s="3">
        <v>2205</v>
      </c>
      <c r="H17" s="3">
        <v>44694</v>
      </c>
      <c r="I17" s="3">
        <v>18</v>
      </c>
      <c r="J17" s="3" t="s">
        <v>42</v>
      </c>
      <c r="K17" s="3" t="s">
        <v>13</v>
      </c>
    </row>
    <row r="18" spans="1:11" ht="23.4" customHeight="1" x14ac:dyDescent="0.25">
      <c r="A18" s="3">
        <v>107</v>
      </c>
      <c r="B18" s="3" t="s">
        <v>40</v>
      </c>
      <c r="C18" s="3" t="s">
        <v>41</v>
      </c>
      <c r="D18" s="3">
        <v>55</v>
      </c>
      <c r="E18" s="3" t="s">
        <v>43</v>
      </c>
      <c r="F18" s="3" t="s">
        <v>44</v>
      </c>
      <c r="G18" s="3">
        <v>2210</v>
      </c>
      <c r="H18" s="3">
        <v>44701</v>
      </c>
      <c r="I18" s="3">
        <v>18</v>
      </c>
      <c r="J18" s="3" t="s">
        <v>42</v>
      </c>
      <c r="K18" s="3" t="s">
        <v>13</v>
      </c>
    </row>
    <row r="19" spans="1:11" ht="23.4" customHeight="1" x14ac:dyDescent="0.25">
      <c r="A19" s="3">
        <v>108</v>
      </c>
      <c r="B19" s="3" t="s">
        <v>45</v>
      </c>
      <c r="C19" s="3" t="s">
        <v>46</v>
      </c>
      <c r="D19" s="3">
        <v>60</v>
      </c>
      <c r="E19" s="3" t="s">
        <v>47</v>
      </c>
      <c r="F19" s="3" t="s">
        <v>48</v>
      </c>
      <c r="G19" s="3">
        <v>2300</v>
      </c>
      <c r="H19" s="3">
        <v>44713</v>
      </c>
      <c r="I19" s="3">
        <v>10</v>
      </c>
      <c r="J19" s="3" t="s">
        <v>12</v>
      </c>
      <c r="K19" s="3" t="s">
        <v>13</v>
      </c>
    </row>
    <row r="20" spans="1:11" ht="23.4" customHeight="1" x14ac:dyDescent="0.25">
      <c r="A20" s="3">
        <v>108</v>
      </c>
      <c r="B20" s="3" t="s">
        <v>45</v>
      </c>
      <c r="C20" s="3" t="s">
        <v>46</v>
      </c>
      <c r="D20" s="3">
        <v>61</v>
      </c>
      <c r="E20" s="3" t="s">
        <v>49</v>
      </c>
      <c r="F20" s="3" t="s">
        <v>50</v>
      </c>
      <c r="G20" s="3">
        <v>2305</v>
      </c>
      <c r="H20" s="3">
        <v>44727</v>
      </c>
      <c r="I20" s="3">
        <v>10</v>
      </c>
      <c r="J20" s="3" t="s">
        <v>12</v>
      </c>
      <c r="K20" s="3" t="s">
        <v>13</v>
      </c>
    </row>
    <row r="33" customFormat="1" ht="23.4" customHeight="1" x14ac:dyDescent="0.25"/>
    <row r="34" customFormat="1" ht="23.4" customHeight="1" x14ac:dyDescent="0.25"/>
    <row r="35" customFormat="1" ht="23.4" customHeight="1" x14ac:dyDescent="0.25"/>
    <row r="36" customFormat="1" ht="23.4" customHeight="1" x14ac:dyDescent="0.25"/>
    <row r="37" customFormat="1" ht="23.4" customHeight="1" x14ac:dyDescent="0.25"/>
    <row r="38" customFormat="1" ht="23.4" customHeight="1" x14ac:dyDescent="0.25"/>
    <row r="39" customFormat="1" ht="23.4" customHeight="1" x14ac:dyDescent="0.25"/>
    <row r="40" customFormat="1" ht="23.4" customHeight="1" x14ac:dyDescent="0.25"/>
    <row r="41" customFormat="1" ht="23.4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8EA6-AEE4-49D4-A0C5-9819D82186B3}">
  <dimension ref="A1:C16"/>
  <sheetViews>
    <sheetView workbookViewId="0">
      <selection activeCell="E16" sqref="E16"/>
    </sheetView>
  </sheetViews>
  <sheetFormatPr baseColWidth="10" defaultRowHeight="13.2" x14ac:dyDescent="0.25"/>
  <cols>
    <col min="1" max="1" width="11.33203125" customWidth="1"/>
    <col min="2" max="2" width="15.33203125" bestFit="1" customWidth="1"/>
  </cols>
  <sheetData>
    <row r="1" spans="1:3" x14ac:dyDescent="0.25">
      <c r="A1" s="6" t="s">
        <v>3</v>
      </c>
      <c r="B1" t="s">
        <v>29</v>
      </c>
      <c r="C1" t="s">
        <v>0</v>
      </c>
    </row>
    <row r="2" spans="1:3" x14ac:dyDescent="0.25">
      <c r="A2">
        <v>1543</v>
      </c>
      <c r="B2">
        <v>100</v>
      </c>
      <c r="C2">
        <v>53</v>
      </c>
    </row>
    <row r="3" spans="1:3" x14ac:dyDescent="0.25">
      <c r="A3">
        <v>1264</v>
      </c>
      <c r="B3">
        <v>100</v>
      </c>
      <c r="C3">
        <v>53</v>
      </c>
    </row>
    <row r="4" spans="1:3" x14ac:dyDescent="0.25">
      <c r="A4">
        <v>1907</v>
      </c>
      <c r="B4">
        <v>100</v>
      </c>
      <c r="C4">
        <v>57</v>
      </c>
    </row>
    <row r="5" spans="1:3" x14ac:dyDescent="0.25">
      <c r="A5">
        <v>1547</v>
      </c>
      <c r="B5">
        <v>100</v>
      </c>
      <c r="C5">
        <v>61</v>
      </c>
    </row>
    <row r="6" spans="1:3" x14ac:dyDescent="0.25">
      <c r="A6">
        <v>1084</v>
      </c>
      <c r="B6">
        <v>103</v>
      </c>
      <c r="C6">
        <v>66</v>
      </c>
    </row>
    <row r="7" spans="1:3" x14ac:dyDescent="0.25">
      <c r="A7">
        <v>1683</v>
      </c>
      <c r="B7">
        <v>103</v>
      </c>
      <c r="C7">
        <v>64</v>
      </c>
    </row>
    <row r="8" spans="1:3" x14ac:dyDescent="0.25">
      <c r="A8">
        <v>1688</v>
      </c>
      <c r="B8">
        <v>103</v>
      </c>
      <c r="C8">
        <v>62</v>
      </c>
    </row>
    <row r="9" spans="1:3" x14ac:dyDescent="0.25">
      <c r="A9">
        <v>1088</v>
      </c>
      <c r="B9">
        <v>105</v>
      </c>
      <c r="C9">
        <v>44</v>
      </c>
    </row>
    <row r="10" spans="1:3" x14ac:dyDescent="0.25">
      <c r="A10">
        <v>2021</v>
      </c>
      <c r="B10">
        <v>105</v>
      </c>
      <c r="C10">
        <v>48</v>
      </c>
    </row>
    <row r="11" spans="1:3" x14ac:dyDescent="0.25">
      <c r="A11">
        <v>2124</v>
      </c>
      <c r="B11">
        <v>106</v>
      </c>
      <c r="C11">
        <v>49</v>
      </c>
    </row>
    <row r="12" spans="1:3" x14ac:dyDescent="0.25">
      <c r="A12">
        <v>2128</v>
      </c>
      <c r="B12">
        <v>106</v>
      </c>
      <c r="C12">
        <v>53</v>
      </c>
    </row>
    <row r="13" spans="1:3" x14ac:dyDescent="0.25">
      <c r="A13">
        <v>2205</v>
      </c>
      <c r="B13">
        <v>107</v>
      </c>
      <c r="C13">
        <v>57</v>
      </c>
    </row>
    <row r="14" spans="1:3" x14ac:dyDescent="0.25">
      <c r="A14">
        <v>2210</v>
      </c>
      <c r="B14">
        <v>107</v>
      </c>
      <c r="C14">
        <v>55</v>
      </c>
    </row>
    <row r="15" spans="1:3" x14ac:dyDescent="0.25">
      <c r="A15">
        <v>2300</v>
      </c>
      <c r="B15">
        <v>108</v>
      </c>
      <c r="C15">
        <v>60</v>
      </c>
    </row>
    <row r="16" spans="1:3" x14ac:dyDescent="0.25">
      <c r="A16">
        <v>2305</v>
      </c>
      <c r="B16">
        <v>108</v>
      </c>
      <c r="C16">
        <v>61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C126-68F8-4882-8036-002E83C6162D}">
  <dimension ref="A1:C5"/>
  <sheetViews>
    <sheetView workbookViewId="0">
      <selection activeCell="D16" sqref="D16"/>
    </sheetView>
  </sheetViews>
  <sheetFormatPr baseColWidth="10" defaultRowHeight="13.2" x14ac:dyDescent="0.25"/>
  <cols>
    <col min="1" max="1" width="17" bestFit="1" customWidth="1"/>
    <col min="2" max="2" width="13.77734375" bestFit="1" customWidth="1"/>
    <col min="3" max="3" width="20" bestFit="1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>
        <v>10</v>
      </c>
      <c r="B2" t="s">
        <v>12</v>
      </c>
      <c r="C2" t="s">
        <v>13</v>
      </c>
    </row>
    <row r="3" spans="1:3" x14ac:dyDescent="0.25">
      <c r="A3">
        <v>15</v>
      </c>
      <c r="B3" t="s">
        <v>20</v>
      </c>
      <c r="C3" t="s">
        <v>21</v>
      </c>
    </row>
    <row r="4" spans="1:3" x14ac:dyDescent="0.25">
      <c r="A4">
        <v>17</v>
      </c>
      <c r="B4" t="s">
        <v>27</v>
      </c>
      <c r="C4" t="s">
        <v>28</v>
      </c>
    </row>
    <row r="5" spans="1:3" x14ac:dyDescent="0.25">
      <c r="A5">
        <v>18</v>
      </c>
      <c r="B5" t="s">
        <v>42</v>
      </c>
      <c r="C5" t="s">
        <v>13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5DBF-4B4F-4687-8FE4-24909FBB97AB}">
  <dimension ref="A1:C12"/>
  <sheetViews>
    <sheetView workbookViewId="0">
      <selection activeCell="E12" sqref="E12"/>
    </sheetView>
  </sheetViews>
  <sheetFormatPr baseColWidth="10" defaultRowHeight="13.2" x14ac:dyDescent="0.25"/>
  <cols>
    <col min="1" max="1" width="11.33203125" customWidth="1"/>
    <col min="2" max="2" width="17.88671875" bestFit="1" customWidth="1"/>
    <col min="3" max="3" width="19.332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53</v>
      </c>
      <c r="B2" t="s">
        <v>10</v>
      </c>
      <c r="C2" t="s">
        <v>11</v>
      </c>
    </row>
    <row r="3" spans="1:3" x14ac:dyDescent="0.25">
      <c r="A3">
        <v>57</v>
      </c>
      <c r="B3" t="s">
        <v>14</v>
      </c>
      <c r="C3" t="s">
        <v>15</v>
      </c>
    </row>
    <row r="4" spans="1:3" x14ac:dyDescent="0.25">
      <c r="A4">
        <v>61</v>
      </c>
      <c r="B4" t="s">
        <v>49</v>
      </c>
      <c r="C4" t="s">
        <v>50</v>
      </c>
    </row>
    <row r="5" spans="1:3" x14ac:dyDescent="0.25">
      <c r="A5">
        <v>66</v>
      </c>
      <c r="B5" t="s">
        <v>18</v>
      </c>
      <c r="C5" t="s">
        <v>19</v>
      </c>
    </row>
    <row r="6" spans="1:3" x14ac:dyDescent="0.25">
      <c r="A6">
        <v>64</v>
      </c>
      <c r="B6" t="s">
        <v>22</v>
      </c>
      <c r="C6" t="s">
        <v>23</v>
      </c>
    </row>
    <row r="7" spans="1:3" x14ac:dyDescent="0.25">
      <c r="A7">
        <v>62</v>
      </c>
      <c r="B7" t="s">
        <v>51</v>
      </c>
      <c r="C7" t="s">
        <v>35</v>
      </c>
    </row>
    <row r="8" spans="1:3" x14ac:dyDescent="0.25">
      <c r="A8">
        <v>44</v>
      </c>
      <c r="B8" t="s">
        <v>25</v>
      </c>
      <c r="C8" t="s">
        <v>26</v>
      </c>
    </row>
    <row r="9" spans="1:3" x14ac:dyDescent="0.25">
      <c r="A9">
        <v>48</v>
      </c>
      <c r="B9" t="s">
        <v>34</v>
      </c>
      <c r="C9" t="s">
        <v>35</v>
      </c>
    </row>
    <row r="10" spans="1:3" x14ac:dyDescent="0.25">
      <c r="A10">
        <v>49</v>
      </c>
      <c r="B10" t="s">
        <v>38</v>
      </c>
      <c r="C10" t="s">
        <v>39</v>
      </c>
    </row>
    <row r="11" spans="1:3" x14ac:dyDescent="0.25">
      <c r="A11">
        <v>55</v>
      </c>
      <c r="B11" t="s">
        <v>43</v>
      </c>
      <c r="C11" t="s">
        <v>44</v>
      </c>
    </row>
    <row r="12" spans="1:3" x14ac:dyDescent="0.25">
      <c r="A12">
        <v>60</v>
      </c>
      <c r="B12" t="s">
        <v>47</v>
      </c>
      <c r="C12" t="s">
        <v>48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1AA0-4572-40DF-A675-FDA15D48A683}">
  <dimension ref="A1:D7"/>
  <sheetViews>
    <sheetView workbookViewId="0">
      <selection sqref="A1:D7"/>
    </sheetView>
  </sheetViews>
  <sheetFormatPr baseColWidth="10" defaultRowHeight="13.2" x14ac:dyDescent="0.25"/>
  <cols>
    <col min="1" max="1" width="9" customWidth="1"/>
    <col min="2" max="2" width="14.88671875" bestFit="1" customWidth="1"/>
    <col min="3" max="3" width="16.44140625" bestFit="1" customWidth="1"/>
    <col min="4" max="4" width="16.44140625" customWidth="1"/>
  </cols>
  <sheetData>
    <row r="1" spans="1:4" x14ac:dyDescent="0.25">
      <c r="A1" t="s">
        <v>29</v>
      </c>
      <c r="B1" t="s">
        <v>30</v>
      </c>
      <c r="C1" t="s">
        <v>31</v>
      </c>
      <c r="D1" t="s">
        <v>5</v>
      </c>
    </row>
    <row r="2" spans="1:4" x14ac:dyDescent="0.25">
      <c r="A2">
        <v>100</v>
      </c>
      <c r="B2" t="s">
        <v>8</v>
      </c>
      <c r="C2" t="s">
        <v>9</v>
      </c>
      <c r="D2">
        <v>10</v>
      </c>
    </row>
    <row r="3" spans="1:4" x14ac:dyDescent="0.25">
      <c r="A3">
        <v>103</v>
      </c>
      <c r="B3" t="s">
        <v>16</v>
      </c>
      <c r="C3" t="s">
        <v>17</v>
      </c>
      <c r="D3">
        <v>15</v>
      </c>
    </row>
    <row r="4" spans="1:4" x14ac:dyDescent="0.25">
      <c r="A4">
        <v>105</v>
      </c>
      <c r="B4" t="s">
        <v>24</v>
      </c>
      <c r="C4" t="s">
        <v>16</v>
      </c>
      <c r="D4">
        <v>17</v>
      </c>
    </row>
    <row r="5" spans="1:4" x14ac:dyDescent="0.25">
      <c r="A5">
        <v>106</v>
      </c>
      <c r="B5" t="s">
        <v>36</v>
      </c>
      <c r="C5" t="s">
        <v>37</v>
      </c>
      <c r="D5">
        <v>17</v>
      </c>
    </row>
    <row r="6" spans="1:4" x14ac:dyDescent="0.25">
      <c r="A6">
        <v>107</v>
      </c>
      <c r="B6" t="s">
        <v>40</v>
      </c>
      <c r="C6" t="s">
        <v>41</v>
      </c>
      <c r="D6">
        <v>18</v>
      </c>
    </row>
    <row r="7" spans="1:4" x14ac:dyDescent="0.25">
      <c r="A7">
        <v>108</v>
      </c>
      <c r="B7" t="s">
        <v>45</v>
      </c>
      <c r="C7" t="s">
        <v>46</v>
      </c>
      <c r="D7">
        <v>10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1909-F1CE-401D-9AE4-BC5FB8EEBB58}">
  <dimension ref="B3:H16"/>
  <sheetViews>
    <sheetView tabSelected="1" workbookViewId="0">
      <selection activeCell="G21" sqref="G21"/>
    </sheetView>
  </sheetViews>
  <sheetFormatPr baseColWidth="10" defaultRowHeight="13.2" x14ac:dyDescent="0.25"/>
  <cols>
    <col min="2" max="2" width="5.109375" customWidth="1"/>
    <col min="3" max="3" width="16.33203125" bestFit="1" customWidth="1"/>
    <col min="4" max="4" width="13.6640625" customWidth="1"/>
    <col min="6" max="6" width="6.77734375" customWidth="1"/>
    <col min="7" max="7" width="16.88671875" bestFit="1" customWidth="1"/>
  </cols>
  <sheetData>
    <row r="3" spans="2:8" ht="20.399999999999999" x14ac:dyDescent="0.35">
      <c r="B3" s="9" t="s">
        <v>52</v>
      </c>
      <c r="C3" s="9"/>
      <c r="D3" s="9"/>
      <c r="E3" s="9"/>
      <c r="F3" s="9"/>
      <c r="G3" s="9"/>
      <c r="H3" s="9"/>
    </row>
    <row r="6" spans="2:8" x14ac:dyDescent="0.25">
      <c r="B6" s="10" t="s">
        <v>53</v>
      </c>
      <c r="C6" s="10"/>
      <c r="D6" s="10"/>
      <c r="F6" s="12" t="s">
        <v>56</v>
      </c>
      <c r="G6" s="16"/>
      <c r="H6" s="17"/>
    </row>
    <row r="7" spans="2:8" x14ac:dyDescent="0.25">
      <c r="B7" s="15" t="s">
        <v>54</v>
      </c>
      <c r="C7" s="11" t="str" cm="1">
        <f t="array" ref="C7:C9">TRANSPOSE(Termin!A1:C1)</f>
        <v>Termin_ID</v>
      </c>
      <c r="D7" s="14" t="s">
        <v>58</v>
      </c>
      <c r="F7" s="15" t="s">
        <v>54</v>
      </c>
      <c r="G7" s="11" t="str" cm="1">
        <f t="array" ref="G7:G10">TRANSPOSE(Tabelle6[#Headers])</f>
        <v>Arzt_ID</v>
      </c>
      <c r="H7" s="14" t="s">
        <v>58</v>
      </c>
    </row>
    <row r="8" spans="2:8" x14ac:dyDescent="0.25">
      <c r="B8" s="15" t="s">
        <v>57</v>
      </c>
      <c r="C8" s="11" t="str">
        <v>Arzt_ID</v>
      </c>
      <c r="D8" s="14" t="s">
        <v>58</v>
      </c>
      <c r="F8" s="13"/>
      <c r="G8" s="11" t="str">
        <v>Arzt_Vorname</v>
      </c>
      <c r="H8" s="14" t="s">
        <v>59</v>
      </c>
    </row>
    <row r="9" spans="2:8" x14ac:dyDescent="0.25">
      <c r="B9" s="15" t="s">
        <v>57</v>
      </c>
      <c r="C9" s="11" t="str">
        <v>Patient_ID</v>
      </c>
      <c r="D9" s="14" t="s">
        <v>58</v>
      </c>
      <c r="F9" s="13"/>
      <c r="G9" s="11" t="str">
        <v>Arzt_Nachname</v>
      </c>
      <c r="H9" s="14" t="s">
        <v>59</v>
      </c>
    </row>
    <row r="10" spans="2:8" x14ac:dyDescent="0.25">
      <c r="F10" s="15" t="s">
        <v>57</v>
      </c>
      <c r="G10" s="11" t="str">
        <v>Krankenhaus_ID</v>
      </c>
      <c r="H10" s="18" t="s">
        <v>58</v>
      </c>
    </row>
    <row r="13" spans="2:8" x14ac:dyDescent="0.25">
      <c r="B13" s="12" t="s">
        <v>6</v>
      </c>
      <c r="C13" s="16"/>
      <c r="D13" s="17"/>
      <c r="F13" s="10" t="s">
        <v>55</v>
      </c>
      <c r="G13" s="10"/>
      <c r="H13" s="10"/>
    </row>
    <row r="14" spans="2:8" x14ac:dyDescent="0.25">
      <c r="B14" s="15" t="s">
        <v>54</v>
      </c>
      <c r="C14" s="11" t="str" cm="1">
        <f t="array" ref="C14:C16">TRANSPOSE(Krankenhaus!A1:C1)</f>
        <v>Krankenhaus_ID</v>
      </c>
      <c r="D14" s="14" t="s">
        <v>58</v>
      </c>
      <c r="F14" s="15" t="s">
        <v>54</v>
      </c>
      <c r="G14" s="11" t="str" cm="1">
        <f t="array" ref="G14:G16">TRANSPOSE(Patient!A1:C1)</f>
        <v>Patient_ID</v>
      </c>
      <c r="H14" s="14" t="s">
        <v>58</v>
      </c>
    </row>
    <row r="15" spans="2:8" x14ac:dyDescent="0.25">
      <c r="B15" s="13"/>
      <c r="C15" s="11" t="str">
        <v>Krankenhaus</v>
      </c>
      <c r="D15" s="14" t="s">
        <v>59</v>
      </c>
      <c r="F15" s="13"/>
      <c r="G15" s="11" t="str">
        <v>Patient_Vorname</v>
      </c>
      <c r="H15" s="14" t="s">
        <v>59</v>
      </c>
    </row>
    <row r="16" spans="2:8" x14ac:dyDescent="0.25">
      <c r="B16" s="13"/>
      <c r="C16" s="11" t="str">
        <v>Krankenhaus_Stadt</v>
      </c>
      <c r="D16" s="14" t="s">
        <v>59</v>
      </c>
      <c r="F16" s="13"/>
      <c r="G16" s="11" t="str">
        <v>Patient_Nachname</v>
      </c>
      <c r="H16" s="14" t="s">
        <v>59</v>
      </c>
    </row>
  </sheetData>
  <mergeCells count="5">
    <mergeCell ref="B3:H3"/>
    <mergeCell ref="B13:D13"/>
    <mergeCell ref="B6:D6"/>
    <mergeCell ref="F13:H13"/>
    <mergeCell ref="F6:H6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Daten</vt:lpstr>
      <vt:lpstr>Termin</vt:lpstr>
      <vt:lpstr>Krankenhaus</vt:lpstr>
      <vt:lpstr>Patient</vt:lpstr>
      <vt:lpstr>Arzte</vt:lpstr>
      <vt:lpstr>ERD_Table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Mengni Zhang</cp:lastModifiedBy>
  <dcterms:created xsi:type="dcterms:W3CDTF">2025-09-12T09:04:42Z</dcterms:created>
  <dcterms:modified xsi:type="dcterms:W3CDTF">2025-09-12T10:43:20Z</dcterms:modified>
</cp:coreProperties>
</file>